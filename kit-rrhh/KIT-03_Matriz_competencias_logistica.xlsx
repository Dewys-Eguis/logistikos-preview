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Nivel requerido" sheetId="2" state="visible" r:id="rId4"/>
    <sheet name="Evaluación equip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<sst xmlns="http://schemas.openxmlformats.org/spreadsheetml/2006/main" count="80" uniqueCount="77">
  <si>
    <t xml:space="preserve">KIT-03 · Matriz de competencias de puestos logísticos</t>
  </si>
  <si>
    <t xml:space="preserve">Kit RRHH · Logístikos · Formación in company en logística, compras, transporte y comercio exterior</t>
  </si>
  <si>
    <t xml:space="preserve">PARA QUÉ SIRVE</t>
  </si>
  <si>
    <t xml:space="preserve">Define qué nivel de cada competencia necesita cada puesto y mide la brecha de cada persona del equipo.</t>
  </si>
  <si>
    <t xml:space="preserve">ESCALA</t>
  </si>
  <si>
    <t xml:space="preserve">0 = no la necesita / no la tiene · 1 = conoce lo básico · 2 = la aplica con supervisión · 3 = la aplica con autonomía · 4 = la domina y enseña a otros.</t>
  </si>
  <si>
    <t xml:space="preserve">CÓMO USARLO</t>
  </si>
  <si>
    <t xml:space="preserve">1. Revisa "Nivel requerido": los valores son una propuesta de Logístikos; ajústalos a vuestra realidad.</t>
  </si>
  <si>
    <t xml:space="preserve">2. En "Evaluación equipo" añade a cada persona, su puesto y su nivel actual en cada competencia.</t>
  </si>
  <si>
    <t xml:space="preserve">3. La hoja calcula la brecha por competencia, la brecha total y la competencia prioritaria de cada persona.</t>
  </si>
  <si>
    <t xml:space="preserve">Las filas 5 y 6 de "Evaluación equipo" son ejemplos: sobrescríbelas o bórralas.</t>
  </si>
  <si>
    <t xml:space="preserve">Leyenda</t>
  </si>
  <si>
    <t xml:space="preserve">Celda a rellenar</t>
  </si>
  <si>
    <t xml:space="preserve">Fórmula (no editar)</t>
  </si>
  <si>
    <t xml:space="preserve">Plantilla orientativa. No sustituye el asesoramiento jurídico ni la normativa vigente de FUNDAE. ¿Dudas? formacion@logistikos.es · +34 696 34 80 47</t>
  </si>
  <si>
    <t xml:space="preserve">Nivel requerido por puesto (0-4)</t>
  </si>
  <si>
    <t xml:space="preserve">Propuesta editable</t>
  </si>
  <si>
    <t xml:space="preserve">Puesto</t>
  </si>
  <si>
    <t xml:space="preserve">Seguridad y PRL en almacén</t>
  </si>
  <si>
    <t xml:space="preserve">Uso del SGA / ERP</t>
  </si>
  <si>
    <t xml:space="preserve">Preparación y calidad de pedido</t>
  </si>
  <si>
    <t xml:space="preserve">Gestión de inventario</t>
  </si>
  <si>
    <t xml:space="preserve">Lean y 5S</t>
  </si>
  <si>
    <t xml:space="preserve">Planificación de rutas</t>
  </si>
  <si>
    <t xml:space="preserve">Normativa de transporte (CMR, LOTT, ATP, ADR)</t>
  </si>
  <si>
    <t xml:space="preserve">Incoterms y aduanas</t>
  </si>
  <si>
    <t xml:space="preserve">Negociación y TCO</t>
  </si>
  <si>
    <t xml:space="preserve">Análisis de datos y KPIs</t>
  </si>
  <si>
    <t xml:space="preserve">Uso de IA generativa</t>
  </si>
  <si>
    <t xml:space="preserve">Sostenibilidad y huella</t>
  </si>
  <si>
    <t xml:space="preserve">Liderazgo de equipos</t>
  </si>
  <si>
    <t xml:space="preserve">Comunicación y feedback</t>
  </si>
  <si>
    <t xml:space="preserve">Preparador/a de pedidos</t>
  </si>
  <si>
    <t xml:space="preserve">Carretillero/a</t>
  </si>
  <si>
    <t xml:space="preserve">Jefe/a de turno</t>
  </si>
  <si>
    <t xml:space="preserve">Jefe/a de almacén</t>
  </si>
  <si>
    <t xml:space="preserve">Planificador/a de tráfico</t>
  </si>
  <si>
    <t xml:space="preserve">Jefe/a de tráfico</t>
  </si>
  <si>
    <t xml:space="preserve">Comprador/a</t>
  </si>
  <si>
    <t xml:space="preserve">Técnico/a de comercio exterior</t>
  </si>
  <si>
    <t xml:space="preserve">Planificador/a de demanda</t>
  </si>
  <si>
    <t xml:space="preserve">Director/a de operaciones</t>
  </si>
  <si>
    <t xml:space="preserve">Evaluación del equipo</t>
  </si>
  <si>
    <t xml:space="preserve">Nivel actual (0-4) por competencia; la brecha se calcula sola</t>
  </si>
  <si>
    <t xml:space="preserve">Persona</t>
  </si>
  <si>
    <t xml:space="preserve">Actual · Seguridad y PRL en almacén</t>
  </si>
  <si>
    <t xml:space="preserve">Actual · Uso del SGA / ERP</t>
  </si>
  <si>
    <t xml:space="preserve">Actual · Preparación y calidad de pedido</t>
  </si>
  <si>
    <t xml:space="preserve">Actual · Gestión de inventario</t>
  </si>
  <si>
    <t xml:space="preserve">Actual · Lean y 5S</t>
  </si>
  <si>
    <t xml:space="preserve">Actual · Planificación de rutas</t>
  </si>
  <si>
    <t xml:space="preserve">Actual · Normativa de transporte (CMR, LOTT, ATP, ADR)</t>
  </si>
  <si>
    <t xml:space="preserve">Actual · Incoterms y aduanas</t>
  </si>
  <si>
    <t xml:space="preserve">Actual · Negociación y TCO</t>
  </si>
  <si>
    <t xml:space="preserve">Actual · Análisis de datos y KPIs</t>
  </si>
  <si>
    <t xml:space="preserve">Actual · Uso de IA generativa</t>
  </si>
  <si>
    <t xml:space="preserve">Actual · Sostenibilidad y huella</t>
  </si>
  <si>
    <t xml:space="preserve">Actual · Liderazgo de equipos</t>
  </si>
  <si>
    <t xml:space="preserve">Actual · Comunicación y feedback</t>
  </si>
  <si>
    <t xml:space="preserve">Brecha · Seguridad y PRL en almacén</t>
  </si>
  <si>
    <t xml:space="preserve">Brecha · Uso del SGA / ERP</t>
  </si>
  <si>
    <t xml:space="preserve">Brecha · Preparación y calidad de pedido</t>
  </si>
  <si>
    <t xml:space="preserve">Brecha · Gestión de inventario</t>
  </si>
  <si>
    <t xml:space="preserve">Brecha · Lean y 5S</t>
  </si>
  <si>
    <t xml:space="preserve">Brecha · Planificación de rutas</t>
  </si>
  <si>
    <t xml:space="preserve">Brecha · Normativa de transporte (CMR, LOTT, ATP, ADR)</t>
  </si>
  <si>
    <t xml:space="preserve">Brecha · Incoterms y aduanas</t>
  </si>
  <si>
    <t xml:space="preserve">Brecha · Negociación y TCO</t>
  </si>
  <si>
    <t xml:space="preserve">Brecha · Análisis de datos y KPIs</t>
  </si>
  <si>
    <t xml:space="preserve">Brecha · Uso de IA generativa</t>
  </si>
  <si>
    <t xml:space="preserve">Brecha · Sostenibilidad y huella</t>
  </si>
  <si>
    <t xml:space="preserve">Brecha · Liderazgo de equipos</t>
  </si>
  <si>
    <t xml:space="preserve">Brecha · Comunicación y feedback</t>
  </si>
  <si>
    <t xml:space="preserve">Brecha total</t>
  </si>
  <si>
    <t xml:space="preserve">Competencia prioritaria</t>
  </si>
  <si>
    <t xml:space="preserve">Ana M.</t>
  </si>
  <si>
    <t xml:space="preserve">Luis 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</si>
</sst>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C1B"/>
      <name val="Arial"/>
      <family val="0"/>
      <charset val="1"/>
    </font>
    <font>
      <i val="true"/>
      <sz val="10"/>
      <color rgb="FF5556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6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2"/>
        <bgColor rgb="FFFFFF99"/>
      </patternFill>
    </fill>
    <fill>
      <patternFill patternType="solid">
        <fgColor rgb="FF0A0C1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65F"/>
      <rgbColor rgb="FF969696"/>
      <rgbColor rgb="FF003366"/>
      <rgbColor rgb="FF339966"/>
      <rgbColor rgb="FF0A0C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6" t="s">
        <v>12</v>
      </c>
    </row>
    <row r="16" customFormat="false" ht="15" hidden="false" customHeight="false" outlineLevel="0" collapsed="false">
      <c r="A16" s="7" t="s">
        <v>13</v>
      </c>
    </row>
    <row r="18" customFormat="false" ht="15" hidden="false" customHeight="false" outlineLevel="0" collapsed="false">
      <c r="A18" s="8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3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60" hidden="false" customHeight="true" outlineLevel="0" collapsed="false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  <c r="O4" s="9" t="s">
        <v>31</v>
      </c>
    </row>
    <row r="5" customFormat="false" ht="15" hidden="false" customHeight="false" outlineLevel="0" collapsed="false">
      <c r="A5" s="6" t="s">
        <v>32</v>
      </c>
      <c r="B5" s="10" t="n">
        <v>3</v>
      </c>
      <c r="C5" s="10" t="n">
        <v>2</v>
      </c>
      <c r="D5" s="10" t="n">
        <v>3</v>
      </c>
      <c r="E5" s="10" t="n">
        <v>1</v>
      </c>
      <c r="F5" s="10" t="n">
        <v>2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1</v>
      </c>
      <c r="M5" s="10" t="n">
        <v>1</v>
      </c>
      <c r="N5" s="10" t="n">
        <v>0</v>
      </c>
      <c r="O5" s="10" t="n">
        <v>1</v>
      </c>
    </row>
    <row r="6" customFormat="false" ht="15" hidden="false" customHeight="false" outlineLevel="0" collapsed="false">
      <c r="A6" s="6" t="s">
        <v>33</v>
      </c>
      <c r="B6" s="10" t="n">
        <v>4</v>
      </c>
      <c r="C6" s="10" t="n">
        <v>2</v>
      </c>
      <c r="D6" s="10" t="n">
        <v>2</v>
      </c>
      <c r="E6" s="10" t="n">
        <v>1</v>
      </c>
      <c r="F6" s="10" t="n">
        <v>2</v>
      </c>
      <c r="G6" s="10" t="n">
        <v>0</v>
      </c>
      <c r="H6" s="10" t="n">
        <v>1</v>
      </c>
      <c r="I6" s="10" t="n">
        <v>0</v>
      </c>
      <c r="J6" s="10" t="n">
        <v>0</v>
      </c>
      <c r="K6" s="10" t="n">
        <v>0</v>
      </c>
      <c r="L6" s="10" t="n">
        <v>1</v>
      </c>
      <c r="M6" s="10" t="n">
        <v>1</v>
      </c>
      <c r="N6" s="10" t="n">
        <v>0</v>
      </c>
      <c r="O6" s="10" t="n">
        <v>1</v>
      </c>
    </row>
    <row r="7" customFormat="false" ht="15" hidden="false" customHeight="false" outlineLevel="0" collapsed="false">
      <c r="A7" s="6" t="s">
        <v>34</v>
      </c>
      <c r="B7" s="10" t="n">
        <v>4</v>
      </c>
      <c r="C7" s="10" t="n">
        <v>3</v>
      </c>
      <c r="D7" s="10" t="n">
        <v>3</v>
      </c>
      <c r="E7" s="10" t="n">
        <v>2</v>
      </c>
      <c r="F7" s="10" t="n">
        <v>3</v>
      </c>
      <c r="G7" s="10" t="n">
        <v>1</v>
      </c>
      <c r="H7" s="10" t="n">
        <v>1</v>
      </c>
      <c r="I7" s="10" t="n">
        <v>0</v>
      </c>
      <c r="J7" s="10" t="n">
        <v>0</v>
      </c>
      <c r="K7" s="10" t="n">
        <v>2</v>
      </c>
      <c r="L7" s="10" t="n">
        <v>2</v>
      </c>
      <c r="M7" s="10" t="n">
        <v>1</v>
      </c>
      <c r="N7" s="10" t="n">
        <v>3</v>
      </c>
      <c r="O7" s="10" t="n">
        <v>3</v>
      </c>
    </row>
    <row r="8" customFormat="false" ht="15" hidden="false" customHeight="false" outlineLevel="0" collapsed="false">
      <c r="A8" s="6" t="s">
        <v>35</v>
      </c>
      <c r="B8" s="10" t="n">
        <v>4</v>
      </c>
      <c r="C8" s="10" t="n">
        <v>4</v>
      </c>
      <c r="D8" s="10" t="n">
        <v>3</v>
      </c>
      <c r="E8" s="10" t="n">
        <v>4</v>
      </c>
      <c r="F8" s="10" t="n">
        <v>4</v>
      </c>
      <c r="G8" s="10" t="n">
        <v>1</v>
      </c>
      <c r="H8" s="10" t="n">
        <v>1</v>
      </c>
      <c r="I8" s="10" t="n">
        <v>1</v>
      </c>
      <c r="J8" s="10" t="n">
        <v>1</v>
      </c>
      <c r="K8" s="10" t="n">
        <v>3</v>
      </c>
      <c r="L8" s="10" t="n">
        <v>2</v>
      </c>
      <c r="M8" s="10" t="n">
        <v>2</v>
      </c>
      <c r="N8" s="10" t="n">
        <v>4</v>
      </c>
      <c r="O8" s="10" t="n">
        <v>3</v>
      </c>
    </row>
    <row r="9" customFormat="false" ht="15" hidden="false" customHeight="false" outlineLevel="0" collapsed="false">
      <c r="A9" s="6" t="s">
        <v>36</v>
      </c>
      <c r="B9" s="10" t="n">
        <v>1</v>
      </c>
      <c r="C9" s="10" t="n">
        <v>3</v>
      </c>
      <c r="D9" s="10" t="n">
        <v>1</v>
      </c>
      <c r="E9" s="10" t="n">
        <v>1</v>
      </c>
      <c r="F9" s="10" t="n">
        <v>1</v>
      </c>
      <c r="G9" s="10" t="n">
        <v>4</v>
      </c>
      <c r="H9" s="10" t="n">
        <v>3</v>
      </c>
      <c r="I9" s="10" t="n">
        <v>1</v>
      </c>
      <c r="J9" s="10" t="n">
        <v>1</v>
      </c>
      <c r="K9" s="10" t="n">
        <v>3</v>
      </c>
      <c r="L9" s="10" t="n">
        <v>2</v>
      </c>
      <c r="M9" s="10" t="n">
        <v>2</v>
      </c>
      <c r="N9" s="10" t="n">
        <v>1</v>
      </c>
      <c r="O9" s="10" t="n">
        <v>2</v>
      </c>
    </row>
    <row r="10" customFormat="false" ht="15" hidden="false" customHeight="false" outlineLevel="0" collapsed="false">
      <c r="A10" s="6" t="s">
        <v>37</v>
      </c>
      <c r="B10" s="10" t="n">
        <v>1</v>
      </c>
      <c r="C10" s="10" t="n">
        <v>3</v>
      </c>
      <c r="D10" s="10" t="n">
        <v>1</v>
      </c>
      <c r="E10" s="10" t="n">
        <v>1</v>
      </c>
      <c r="F10" s="10" t="n">
        <v>2</v>
      </c>
      <c r="G10" s="10" t="n">
        <v>4</v>
      </c>
      <c r="H10" s="10" t="n">
        <v>4</v>
      </c>
      <c r="I10" s="10" t="n">
        <v>2</v>
      </c>
      <c r="J10" s="10" t="n">
        <v>3</v>
      </c>
      <c r="K10" s="10" t="n">
        <v>3</v>
      </c>
      <c r="L10" s="10" t="n">
        <v>2</v>
      </c>
      <c r="M10" s="10" t="n">
        <v>3</v>
      </c>
      <c r="N10" s="10" t="n">
        <v>3</v>
      </c>
      <c r="O10" s="10" t="n">
        <v>3</v>
      </c>
    </row>
    <row r="11" customFormat="false" ht="15" hidden="false" customHeight="false" outlineLevel="0" collapsed="false">
      <c r="A11" s="6" t="s">
        <v>38</v>
      </c>
      <c r="B11" s="10" t="n">
        <v>0</v>
      </c>
      <c r="C11" s="10" t="n">
        <v>3</v>
      </c>
      <c r="D11" s="10" t="n">
        <v>0</v>
      </c>
      <c r="E11" s="10" t="n">
        <v>2</v>
      </c>
      <c r="F11" s="10" t="n">
        <v>1</v>
      </c>
      <c r="G11" s="10" t="n">
        <v>0</v>
      </c>
      <c r="H11" s="10" t="n">
        <v>0</v>
      </c>
      <c r="I11" s="10" t="n">
        <v>2</v>
      </c>
      <c r="J11" s="10" t="n">
        <v>4</v>
      </c>
      <c r="K11" s="10" t="n">
        <v>3</v>
      </c>
      <c r="L11" s="10" t="n">
        <v>2</v>
      </c>
      <c r="M11" s="10" t="n">
        <v>2</v>
      </c>
      <c r="N11" s="10" t="n">
        <v>1</v>
      </c>
      <c r="O11" s="10" t="n">
        <v>3</v>
      </c>
    </row>
    <row r="12" customFormat="false" ht="15" hidden="false" customHeight="false" outlineLevel="0" collapsed="false">
      <c r="A12" s="6" t="s">
        <v>39</v>
      </c>
      <c r="B12" s="10" t="n">
        <v>0</v>
      </c>
      <c r="C12" s="10" t="n">
        <v>3</v>
      </c>
      <c r="D12" s="10" t="n">
        <v>0</v>
      </c>
      <c r="E12" s="10" t="n">
        <v>1</v>
      </c>
      <c r="F12" s="10" t="n">
        <v>0</v>
      </c>
      <c r="G12" s="10" t="n">
        <v>1</v>
      </c>
      <c r="H12" s="10" t="n">
        <v>2</v>
      </c>
      <c r="I12" s="10" t="n">
        <v>4</v>
      </c>
      <c r="J12" s="10" t="n">
        <v>2</v>
      </c>
      <c r="K12" s="10" t="n">
        <v>2</v>
      </c>
      <c r="L12" s="10" t="n">
        <v>2</v>
      </c>
      <c r="M12" s="10" t="n">
        <v>2</v>
      </c>
      <c r="N12" s="10" t="n">
        <v>1</v>
      </c>
      <c r="O12" s="10" t="n">
        <v>2</v>
      </c>
    </row>
    <row r="13" customFormat="false" ht="15" hidden="false" customHeight="false" outlineLevel="0" collapsed="false">
      <c r="A13" s="6" t="s">
        <v>40</v>
      </c>
      <c r="B13" s="10" t="n">
        <v>0</v>
      </c>
      <c r="C13" s="10" t="n">
        <v>4</v>
      </c>
      <c r="D13" s="10" t="n">
        <v>0</v>
      </c>
      <c r="E13" s="10" t="n">
        <v>3</v>
      </c>
      <c r="F13" s="10" t="n">
        <v>1</v>
      </c>
      <c r="G13" s="10" t="n">
        <v>1</v>
      </c>
      <c r="H13" s="10" t="n">
        <v>0</v>
      </c>
      <c r="I13" s="10" t="n">
        <v>1</v>
      </c>
      <c r="J13" s="10" t="n">
        <v>1</v>
      </c>
      <c r="K13" s="10" t="n">
        <v>4</v>
      </c>
      <c r="L13" s="10" t="n">
        <v>3</v>
      </c>
      <c r="M13" s="10" t="n">
        <v>1</v>
      </c>
      <c r="N13" s="10" t="n">
        <v>1</v>
      </c>
      <c r="O13" s="10" t="n">
        <v>2</v>
      </c>
    </row>
    <row r="14" customFormat="false" ht="15" hidden="false" customHeight="false" outlineLevel="0" collapsed="false">
      <c r="A14" s="6" t="s">
        <v>41</v>
      </c>
      <c r="B14" s="10" t="n">
        <v>2</v>
      </c>
      <c r="C14" s="10" t="n">
        <v>3</v>
      </c>
      <c r="D14" s="10" t="n">
        <v>2</v>
      </c>
      <c r="E14" s="10" t="n">
        <v>3</v>
      </c>
      <c r="F14" s="10" t="n">
        <v>3</v>
      </c>
      <c r="G14" s="10" t="n">
        <v>2</v>
      </c>
      <c r="H14" s="10" t="n">
        <v>2</v>
      </c>
      <c r="I14" s="10" t="n">
        <v>2</v>
      </c>
      <c r="J14" s="10" t="n">
        <v>3</v>
      </c>
      <c r="K14" s="10" t="n">
        <v>4</v>
      </c>
      <c r="L14" s="10" t="n">
        <v>3</v>
      </c>
      <c r="M14" s="10" t="n">
        <v>3</v>
      </c>
      <c r="N14" s="10" t="n">
        <v>4</v>
      </c>
      <c r="O14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1" min="3" style="0" width="11"/>
    <col collapsed="false" customWidth="true" hidden="false" outlineLevel="0" max="32" min="32" style="0" width="3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69.75" hidden="false" customHeight="true" outlineLevel="0" collapsed="false">
      <c r="A4" s="9" t="s">
        <v>44</v>
      </c>
      <c r="B4" s="9" t="s">
        <v>17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62</v>
      </c>
      <c r="U4" s="9" t="s">
        <v>63</v>
      </c>
      <c r="V4" s="9" t="s">
        <v>64</v>
      </c>
      <c r="W4" s="9" t="s">
        <v>65</v>
      </c>
      <c r="X4" s="9" t="s">
        <v>66</v>
      </c>
      <c r="Y4" s="9" t="s">
        <v>67</v>
      </c>
      <c r="Z4" s="9" t="s">
        <v>68</v>
      </c>
      <c r="AA4" s="9" t="s">
        <v>69</v>
      </c>
      <c r="AB4" s="9" t="s">
        <v>70</v>
      </c>
      <c r="AC4" s="9" t="s">
        <v>71</v>
      </c>
      <c r="AD4" s="9" t="s">
        <v>72</v>
      </c>
      <c r="AE4" s="9" t="s">
        <v>73</v>
      </c>
      <c r="AF4" s="9" t="s">
        <v>74</v>
      </c>
    </row>
    <row r="5" customFormat="false" ht="15" hidden="false" customHeight="false" outlineLevel="0" collapsed="false">
      <c r="A5" s="6" t="s">
        <v>75</v>
      </c>
      <c r="B5" s="6" t="s">
        <v>34</v>
      </c>
      <c r="C5" s="10" t="n">
        <v>4</v>
      </c>
      <c r="D5" s="10" t="n">
        <v>3</v>
      </c>
      <c r="E5" s="10" t="n">
        <v>2</v>
      </c>
      <c r="F5" s="10" t="n">
        <v>2</v>
      </c>
      <c r="G5" s="10" t="n">
        <v>2</v>
      </c>
      <c r="H5" s="10" t="n">
        <v>1</v>
      </c>
      <c r="I5" s="10" t="n">
        <v>1</v>
      </c>
      <c r="J5" s="10" t="n">
        <v>0</v>
      </c>
      <c r="K5" s="10" t="n">
        <v>0</v>
      </c>
      <c r="L5" s="10" t="n">
        <v>1</v>
      </c>
      <c r="M5" s="10" t="n">
        <v>0</v>
      </c>
      <c r="N5" s="10" t="n">
        <v>1</v>
      </c>
      <c r="O5" s="10" t="n">
        <v>2</v>
      </c>
      <c r="P5" s="10" t="n">
        <v>2</v>
      </c>
      <c r="Q5" s="11" t="n">
        <f aca="false">IF(OR($B5="",C5=""),"",MAX(0,INDEX('Nivel requerido'!B$5:B$14,MATCH($B5,'Nivel requerido'!$A$5:$A$14,0))-C5))</f>
        <v>0</v>
      </c>
      <c r="R5" s="11" t="n">
        <f aca="false">IF(OR($B5="",D5=""),"",MAX(0,INDEX('Nivel requerido'!C$5:C$14,MATCH($B5,'Nivel requerido'!$A$5:$A$14,0))-D5))</f>
        <v>0</v>
      </c>
      <c r="S5" s="11" t="n">
        <f aca="false">IF(OR($B5="",E5=""),"",MAX(0,INDEX('Nivel requerido'!D$5:D$14,MATCH($B5,'Nivel requerido'!$A$5:$A$14,0))-E5))</f>
        <v>1</v>
      </c>
      <c r="T5" s="11" t="n">
        <f aca="false">IF(OR($B5="",F5=""),"",MAX(0,INDEX('Nivel requerido'!E$5:E$14,MATCH($B5,'Nivel requerido'!$A$5:$A$14,0))-F5))</f>
        <v>0</v>
      </c>
      <c r="U5" s="11" t="n">
        <f aca="false">IF(OR($B5="",G5=""),"",MAX(0,INDEX('Nivel requerido'!F$5:F$14,MATCH($B5,'Nivel requerido'!$A$5:$A$14,0))-G5))</f>
        <v>1</v>
      </c>
      <c r="V5" s="11" t="n">
        <f aca="false">IF(OR($B5="",H5=""),"",MAX(0,INDEX('Nivel requerido'!G$5:G$14,MATCH($B5,'Nivel requerido'!$A$5:$A$14,0))-H5))</f>
        <v>0</v>
      </c>
      <c r="W5" s="11" t="n">
        <f aca="false">IF(OR($B5="",I5=""),"",MAX(0,INDEX('Nivel requerido'!H$5:H$14,MATCH($B5,'Nivel requerido'!$A$5:$A$14,0))-I5))</f>
        <v>0</v>
      </c>
      <c r="X5" s="11" t="n">
        <f aca="false">IF(OR($B5="",J5=""),"",MAX(0,INDEX('Nivel requerido'!I$5:I$14,MATCH($B5,'Nivel requerido'!$A$5:$A$14,0))-J5))</f>
        <v>0</v>
      </c>
      <c r="Y5" s="11" t="n">
        <f aca="false">IF(OR($B5="",K5=""),"",MAX(0,INDEX('Nivel requerido'!J$5:J$14,MATCH($B5,'Nivel requerido'!$A$5:$A$14,0))-K5))</f>
        <v>0</v>
      </c>
      <c r="Z5" s="11" t="n">
        <f aca="false">IF(OR($B5="",L5=""),"",MAX(0,INDEX('Nivel requerido'!K$5:K$14,MATCH($B5,'Nivel requerido'!$A$5:$A$14,0))-L5))</f>
        <v>1</v>
      </c>
      <c r="AA5" s="11" t="n">
        <f aca="false">IF(OR($B5="",M5=""),"",MAX(0,INDEX('Nivel requerido'!L$5:L$14,MATCH($B5,'Nivel requerido'!$A$5:$A$14,0))-M5))</f>
        <v>2</v>
      </c>
      <c r="AB5" s="11" t="n">
        <f aca="false">IF(OR($B5="",N5=""),"",MAX(0,INDEX('Nivel requerido'!M$5:M$14,MATCH($B5,'Nivel requerido'!$A$5:$A$14,0))-N5))</f>
        <v>0</v>
      </c>
      <c r="AC5" s="11" t="n">
        <f aca="false">IF(OR($B5="",O5=""),"",MAX(0,INDEX('Nivel requerido'!N$5:N$14,MATCH($B5,'Nivel requerido'!$A$5:$A$14,0))-O5))</f>
        <v>1</v>
      </c>
      <c r="AD5" s="11" t="n">
        <f aca="false">IF(OR($B5="",P5=""),"",MAX(0,INDEX('Nivel requerido'!O$5:O$14,MATCH($B5,'Nivel requerido'!$A$5:$A$14,0))-P5))</f>
        <v>1</v>
      </c>
      <c r="AE5" s="12" t="n">
        <f aca="false">IF($B5="","",SUM(Q5:AD5))</f>
        <v>7</v>
      </c>
      <c r="AF5" s="7" t="str">
        <f aca="false">IF(OR($B5="",AE5=0),"",INDEX('Nivel requerido'!$B$4:$O$4,MATCH(MAX(Q5:AD5),Q5:AD5,0)))</f>
        <v>Uso de IA generativa</v>
      </c>
    </row>
    <row r="6" customFormat="false" ht="15" hidden="false" customHeight="false" outlineLevel="0" collapsed="false">
      <c r="A6" s="6" t="s">
        <v>76</v>
      </c>
      <c r="B6" s="6" t="s">
        <v>36</v>
      </c>
      <c r="C6" s="10" t="n">
        <v>1</v>
      </c>
      <c r="D6" s="10" t="n">
        <v>2</v>
      </c>
      <c r="E6" s="10" t="n">
        <v>1</v>
      </c>
      <c r="F6" s="10" t="n">
        <v>1</v>
      </c>
      <c r="G6" s="10" t="n">
        <v>1</v>
      </c>
      <c r="H6" s="10" t="n">
        <v>3</v>
      </c>
      <c r="I6" s="10" t="n">
        <v>2</v>
      </c>
      <c r="J6" s="10" t="n">
        <v>1</v>
      </c>
      <c r="K6" s="10" t="n">
        <v>1</v>
      </c>
      <c r="L6" s="10" t="n">
        <v>1</v>
      </c>
      <c r="M6" s="10" t="n">
        <v>1</v>
      </c>
      <c r="N6" s="10" t="n">
        <v>0</v>
      </c>
      <c r="O6" s="10" t="n">
        <v>1</v>
      </c>
      <c r="P6" s="10" t="n">
        <v>2</v>
      </c>
      <c r="Q6" s="11" t="n">
        <f aca="false">IF(OR($B6="",C6=""),"",MAX(0,INDEX('Nivel requerido'!B$5:B$14,MATCH($B6,'Nivel requerido'!$A$5:$A$14,0))-C6))</f>
        <v>0</v>
      </c>
      <c r="R6" s="11" t="n">
        <f aca="false">IF(OR($B6="",D6=""),"",MAX(0,INDEX('Nivel requerido'!C$5:C$14,MATCH($B6,'Nivel requerido'!$A$5:$A$14,0))-D6))</f>
        <v>1</v>
      </c>
      <c r="S6" s="11" t="n">
        <f aca="false">IF(OR($B6="",E6=""),"",MAX(0,INDEX('Nivel requerido'!D$5:D$14,MATCH($B6,'Nivel requerido'!$A$5:$A$14,0))-E6))</f>
        <v>0</v>
      </c>
      <c r="T6" s="11" t="n">
        <f aca="false">IF(OR($B6="",F6=""),"",MAX(0,INDEX('Nivel requerido'!E$5:E$14,MATCH($B6,'Nivel requerido'!$A$5:$A$14,0))-F6))</f>
        <v>0</v>
      </c>
      <c r="U6" s="11" t="n">
        <f aca="false">IF(OR($B6="",G6=""),"",MAX(0,INDEX('Nivel requerido'!F$5:F$14,MATCH($B6,'Nivel requerido'!$A$5:$A$14,0))-G6))</f>
        <v>0</v>
      </c>
      <c r="V6" s="11" t="n">
        <f aca="false">IF(OR($B6="",H6=""),"",MAX(0,INDEX('Nivel requerido'!G$5:G$14,MATCH($B6,'Nivel requerido'!$A$5:$A$14,0))-H6))</f>
        <v>1</v>
      </c>
      <c r="W6" s="11" t="n">
        <f aca="false">IF(OR($B6="",I6=""),"",MAX(0,INDEX('Nivel requerido'!H$5:H$14,MATCH($B6,'Nivel requerido'!$A$5:$A$14,0))-I6))</f>
        <v>1</v>
      </c>
      <c r="X6" s="11" t="n">
        <f aca="false">IF(OR($B6="",J6=""),"",MAX(0,INDEX('Nivel requerido'!I$5:I$14,MATCH($B6,'Nivel requerido'!$A$5:$A$14,0))-J6))</f>
        <v>0</v>
      </c>
      <c r="Y6" s="11" t="n">
        <f aca="false">IF(OR($B6="",K6=""),"",MAX(0,INDEX('Nivel requerido'!J$5:J$14,MATCH($B6,'Nivel requerido'!$A$5:$A$14,0))-K6))</f>
        <v>0</v>
      </c>
      <c r="Z6" s="11" t="n">
        <f aca="false">IF(OR($B6="",L6=""),"",MAX(0,INDEX('Nivel requerido'!K$5:K$14,MATCH($B6,'Nivel requerido'!$A$5:$A$14,0))-L6))</f>
        <v>2</v>
      </c>
      <c r="AA6" s="11" t="n">
        <f aca="false">IF(OR($B6="",M6=""),"",MAX(0,INDEX('Nivel requerido'!L$5:L$14,MATCH($B6,'Nivel requerido'!$A$5:$A$14,0))-M6))</f>
        <v>1</v>
      </c>
      <c r="AB6" s="11" t="n">
        <f aca="false">IF(OR($B6="",N6=""),"",MAX(0,INDEX('Nivel requerido'!M$5:M$14,MATCH($B6,'Nivel requerido'!$A$5:$A$14,0))-N6))</f>
        <v>2</v>
      </c>
      <c r="AC6" s="11" t="n">
        <f aca="false">IF(OR($B6="",O6=""),"",MAX(0,INDEX('Nivel requerido'!N$5:N$14,MATCH($B6,'Nivel requerido'!$A$5:$A$14,0))-O6))</f>
        <v>0</v>
      </c>
      <c r="AD6" s="11" t="n">
        <f aca="false">IF(OR($B6="",P6=""),"",MAX(0,INDEX('Nivel requerido'!O$5:O$14,MATCH($B6,'Nivel requerido'!$A$5:$A$14,0))-P6))</f>
        <v>0</v>
      </c>
      <c r="AE6" s="12" t="n">
        <f aca="false">IF($B6="","",SUM(Q6:AD6))</f>
        <v>8</v>
      </c>
      <c r="AF6" s="7" t="str">
        <f aca="false">IF(OR($B6="",AE6=0),"",INDEX('Nivel requerido'!$B$4:$O$4,MATCH(MAX(Q6:AD6),Q6:AD6,0)))</f>
        <v>Análisis de datos y KPIs</v>
      </c>
    </row>
    <row r="7" customFormat="false" ht="15" hidden="false" customHeight="false" outlineLevel="0" collapsed="false">
      <c r="A7" s="6"/>
      <c r="B7" s="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 t="str">
        <f aca="false">IF(OR($B7="",C7=""),"",MAX(0,INDEX('Nivel requerido'!B$5:B$14,MATCH($B7,'Nivel requerido'!$A$5:$A$14,0))-C7))</f>
        <v/>
      </c>
      <c r="R7" s="11" t="str">
        <f aca="false">IF(OR($B7="",D7=""),"",MAX(0,INDEX('Nivel requerido'!C$5:C$14,MATCH($B7,'Nivel requerido'!$A$5:$A$14,0))-D7))</f>
        <v/>
      </c>
      <c r="S7" s="11" t="str">
        <f aca="false">IF(OR($B7="",E7=""),"",MAX(0,INDEX('Nivel requerido'!D$5:D$14,MATCH($B7,'Nivel requerido'!$A$5:$A$14,0))-E7))</f>
        <v/>
      </c>
      <c r="T7" s="11" t="str">
        <f aca="false">IF(OR($B7="",F7=""),"",MAX(0,INDEX('Nivel requerido'!E$5:E$14,MATCH($B7,'Nivel requerido'!$A$5:$A$14,0))-F7))</f>
        <v/>
      </c>
      <c r="U7" s="11" t="str">
        <f aca="false">IF(OR($B7="",G7=""),"",MAX(0,INDEX('Nivel requerido'!F$5:F$14,MATCH($B7,'Nivel requerido'!$A$5:$A$14,0))-G7))</f>
        <v/>
      </c>
      <c r="V7" s="11" t="str">
        <f aca="false">IF(OR($B7="",H7=""),"",MAX(0,INDEX('Nivel requerido'!G$5:G$14,MATCH($B7,'Nivel requerido'!$A$5:$A$14,0))-H7))</f>
        <v/>
      </c>
      <c r="W7" s="11" t="str">
        <f aca="false">IF(OR($B7="",I7=""),"",MAX(0,INDEX('Nivel requerido'!H$5:H$14,MATCH($B7,'Nivel requerido'!$A$5:$A$14,0))-I7))</f>
        <v/>
      </c>
      <c r="X7" s="11" t="str">
        <f aca="false">IF(OR($B7="",J7=""),"",MAX(0,INDEX('Nivel requerido'!I$5:I$14,MATCH($B7,'Nivel requerido'!$A$5:$A$14,0))-J7))</f>
        <v/>
      </c>
      <c r="Y7" s="11" t="str">
        <f aca="false">IF(OR($B7="",K7=""),"",MAX(0,INDEX('Nivel requerido'!J$5:J$14,MATCH($B7,'Nivel requerido'!$A$5:$A$14,0))-K7))</f>
        <v/>
      </c>
      <c r="Z7" s="11" t="str">
        <f aca="false">IF(OR($B7="",L7=""),"",MAX(0,INDEX('Nivel requerido'!K$5:K$14,MATCH($B7,'Nivel requerido'!$A$5:$A$14,0))-L7))</f>
        <v/>
      </c>
      <c r="AA7" s="11" t="str">
        <f aca="false">IF(OR($B7="",M7=""),"",MAX(0,INDEX('Nivel requerido'!L$5:L$14,MATCH($B7,'Nivel requerido'!$A$5:$A$14,0))-M7))</f>
        <v/>
      </c>
      <c r="AB7" s="11" t="str">
        <f aca="false">IF(OR($B7="",N7=""),"",MAX(0,INDEX('Nivel requerido'!M$5:M$14,MATCH($B7,'Nivel requerido'!$A$5:$A$14,0))-N7))</f>
        <v/>
      </c>
      <c r="AC7" s="11" t="str">
        <f aca="false">IF(OR($B7="",O7=""),"",MAX(0,INDEX('Nivel requerido'!N$5:N$14,MATCH($B7,'Nivel requerido'!$A$5:$A$14,0))-O7))</f>
        <v/>
      </c>
      <c r="AD7" s="11" t="str">
        <f aca="false">IF(OR($B7="",P7=""),"",MAX(0,INDEX('Nivel requerido'!O$5:O$14,MATCH($B7,'Nivel requerido'!$A$5:$A$14,0))-P7))</f>
        <v/>
      </c>
      <c r="AE7" s="12" t="str">
        <f aca="false">IF($B7="","",SUM(Q7:AD7))</f>
        <v/>
      </c>
      <c r="AF7" s="7" t="str">
        <f aca="false">IF(OR($B7="",AE7=0),"",INDEX('Nivel requerido'!$B$4:$O$4,MATCH(MAX(Q7:AD7),Q7:AD7,0)))</f>
        <v/>
      </c>
    </row>
    <row r="8" customFormat="false" ht="15" hidden="false" customHeight="false" outlineLevel="0" collapsed="false">
      <c r="A8" s="6"/>
      <c r="B8" s="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 t="str">
        <f aca="false">IF(OR($B8="",C8=""),"",MAX(0,INDEX('Nivel requerido'!B$5:B$14,MATCH($B8,'Nivel requerido'!$A$5:$A$14,0))-C8))</f>
        <v/>
      </c>
      <c r="R8" s="11" t="str">
        <f aca="false">IF(OR($B8="",D8=""),"",MAX(0,INDEX('Nivel requerido'!C$5:C$14,MATCH($B8,'Nivel requerido'!$A$5:$A$14,0))-D8))</f>
        <v/>
      </c>
      <c r="S8" s="11" t="str">
        <f aca="false">IF(OR($B8="",E8=""),"",MAX(0,INDEX('Nivel requerido'!D$5:D$14,MATCH($B8,'Nivel requerido'!$A$5:$A$14,0))-E8))</f>
        <v/>
      </c>
      <c r="T8" s="11" t="str">
        <f aca="false">IF(OR($B8="",F8=""),"",MAX(0,INDEX('Nivel requerido'!E$5:E$14,MATCH($B8,'Nivel requerido'!$A$5:$A$14,0))-F8))</f>
        <v/>
      </c>
      <c r="U8" s="11" t="str">
        <f aca="false">IF(OR($B8="",G8=""),"",MAX(0,INDEX('Nivel requerido'!F$5:F$14,MATCH($B8,'Nivel requerido'!$A$5:$A$14,0))-G8))</f>
        <v/>
      </c>
      <c r="V8" s="11" t="str">
        <f aca="false">IF(OR($B8="",H8=""),"",MAX(0,INDEX('Nivel requerido'!G$5:G$14,MATCH($B8,'Nivel requerido'!$A$5:$A$14,0))-H8))</f>
        <v/>
      </c>
      <c r="W8" s="11" t="str">
        <f aca="false">IF(OR($B8="",I8=""),"",MAX(0,INDEX('Nivel requerido'!H$5:H$14,MATCH($B8,'Nivel requerido'!$A$5:$A$14,0))-I8))</f>
        <v/>
      </c>
      <c r="X8" s="11" t="str">
        <f aca="false">IF(OR($B8="",J8=""),"",MAX(0,INDEX('Nivel requerido'!I$5:I$14,MATCH($B8,'Nivel requerido'!$A$5:$A$14,0))-J8))</f>
        <v/>
      </c>
      <c r="Y8" s="11" t="str">
        <f aca="false">IF(OR($B8="",K8=""),"",MAX(0,INDEX('Nivel requerido'!J$5:J$14,MATCH($B8,'Nivel requerido'!$A$5:$A$14,0))-K8))</f>
        <v/>
      </c>
      <c r="Z8" s="11" t="str">
        <f aca="false">IF(OR($B8="",L8=""),"",MAX(0,INDEX('Nivel requerido'!K$5:K$14,MATCH($B8,'Nivel requerido'!$A$5:$A$14,0))-L8))</f>
        <v/>
      </c>
      <c r="AA8" s="11" t="str">
        <f aca="false">IF(OR($B8="",M8=""),"",MAX(0,INDEX('Nivel requerido'!L$5:L$14,MATCH($B8,'Nivel requerido'!$A$5:$A$14,0))-M8))</f>
        <v/>
      </c>
      <c r="AB8" s="11" t="str">
        <f aca="false">IF(OR($B8="",N8=""),"",MAX(0,INDEX('Nivel requerido'!M$5:M$14,MATCH($B8,'Nivel requerido'!$A$5:$A$14,0))-N8))</f>
        <v/>
      </c>
      <c r="AC8" s="11" t="str">
        <f aca="false">IF(OR($B8="",O8=""),"",MAX(0,INDEX('Nivel requerido'!N$5:N$14,MATCH($B8,'Nivel requerido'!$A$5:$A$14,0))-O8))</f>
        <v/>
      </c>
      <c r="AD8" s="11" t="str">
        <f aca="false">IF(OR($B8="",P8=""),"",MAX(0,INDEX('Nivel requerido'!O$5:O$14,MATCH($B8,'Nivel requerido'!$A$5:$A$14,0))-P8))</f>
        <v/>
      </c>
      <c r="AE8" s="12" t="str">
        <f aca="false">IF($B8="","",SUM(Q8:AD8))</f>
        <v/>
      </c>
      <c r="AF8" s="7" t="str">
        <f aca="false">IF(OR($B8="",AE8=0),"",INDEX('Nivel requerido'!$B$4:$O$4,MATCH(MAX(Q8:AD8),Q8:AD8,0)))</f>
        <v/>
      </c>
    </row>
    <row r="9" customFormat="false" ht="15" hidden="false" customHeight="false" outlineLevel="0" collapsed="false">
      <c r="A9" s="6"/>
      <c r="B9" s="6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 t="str">
        <f aca="false">IF(OR($B9="",C9=""),"",MAX(0,INDEX('Nivel requerido'!B$5:B$14,MATCH($B9,'Nivel requerido'!$A$5:$A$14,0))-C9))</f>
        <v/>
      </c>
      <c r="R9" s="11" t="str">
        <f aca="false">IF(OR($B9="",D9=""),"",MAX(0,INDEX('Nivel requerido'!C$5:C$14,MATCH($B9,'Nivel requerido'!$A$5:$A$14,0))-D9))</f>
        <v/>
      </c>
      <c r="S9" s="11" t="str">
        <f aca="false">IF(OR($B9="",E9=""),"",MAX(0,INDEX('Nivel requerido'!D$5:D$14,MATCH($B9,'Nivel requerido'!$A$5:$A$14,0))-E9))</f>
        <v/>
      </c>
      <c r="T9" s="11" t="str">
        <f aca="false">IF(OR($B9="",F9=""),"",MAX(0,INDEX('Nivel requerido'!E$5:E$14,MATCH($B9,'Nivel requerido'!$A$5:$A$14,0))-F9))</f>
        <v/>
      </c>
      <c r="U9" s="11" t="str">
        <f aca="false">IF(OR($B9="",G9=""),"",MAX(0,INDEX('Nivel requerido'!F$5:F$14,MATCH($B9,'Nivel requerido'!$A$5:$A$14,0))-G9))</f>
        <v/>
      </c>
      <c r="V9" s="11" t="str">
        <f aca="false">IF(OR($B9="",H9=""),"",MAX(0,INDEX('Nivel requerido'!G$5:G$14,MATCH($B9,'Nivel requerido'!$A$5:$A$14,0))-H9))</f>
        <v/>
      </c>
      <c r="W9" s="11" t="str">
        <f aca="false">IF(OR($B9="",I9=""),"",MAX(0,INDEX('Nivel requerido'!H$5:H$14,MATCH($B9,'Nivel requerido'!$A$5:$A$14,0))-I9))</f>
        <v/>
      </c>
      <c r="X9" s="11" t="str">
        <f aca="false">IF(OR($B9="",J9=""),"",MAX(0,INDEX('Nivel requerido'!I$5:I$14,MATCH($B9,'Nivel requerido'!$A$5:$A$14,0))-J9))</f>
        <v/>
      </c>
      <c r="Y9" s="11" t="str">
        <f aca="false">IF(OR($B9="",K9=""),"",MAX(0,INDEX('Nivel requerido'!J$5:J$14,MATCH($B9,'Nivel requerido'!$A$5:$A$14,0))-K9))</f>
        <v/>
      </c>
      <c r="Z9" s="11" t="str">
        <f aca="false">IF(OR($B9="",L9=""),"",MAX(0,INDEX('Nivel requerido'!K$5:K$14,MATCH($B9,'Nivel requerido'!$A$5:$A$14,0))-L9))</f>
        <v/>
      </c>
      <c r="AA9" s="11" t="str">
        <f aca="false">IF(OR($B9="",M9=""),"",MAX(0,INDEX('Nivel requerido'!L$5:L$14,MATCH($B9,'Nivel requerido'!$A$5:$A$14,0))-M9))</f>
        <v/>
      </c>
      <c r="AB9" s="11" t="str">
        <f aca="false">IF(OR($B9="",N9=""),"",MAX(0,INDEX('Nivel requerido'!M$5:M$14,MATCH($B9,'Nivel requerido'!$A$5:$A$14,0))-N9))</f>
        <v/>
      </c>
      <c r="AC9" s="11" t="str">
        <f aca="false">IF(OR($B9="",O9=""),"",MAX(0,INDEX('Nivel requerido'!N$5:N$14,MATCH($B9,'Nivel requerido'!$A$5:$A$14,0))-O9))</f>
        <v/>
      </c>
      <c r="AD9" s="11" t="str">
        <f aca="false">IF(OR($B9="",P9=""),"",MAX(0,INDEX('Nivel requerido'!O$5:O$14,MATCH($B9,'Nivel requerido'!$A$5:$A$14,0))-P9))</f>
        <v/>
      </c>
      <c r="AE9" s="12" t="str">
        <f aca="false">IF($B9="","",SUM(Q9:AD9))</f>
        <v/>
      </c>
      <c r="AF9" s="7" t="str">
        <f aca="false">IF(OR($B9="",AE9=0),"",INDEX('Nivel requerido'!$B$4:$O$4,MATCH(MAX(Q9:AD9),Q9:AD9,0)))</f>
        <v/>
      </c>
    </row>
    <row r="10" customFormat="false" ht="15" hidden="false" customHeight="false" outlineLevel="0" collapsed="false">
      <c r="A10" s="6"/>
      <c r="B10" s="6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 t="str">
        <f aca="false">IF(OR($B10="",C10=""),"",MAX(0,INDEX('Nivel requerido'!B$5:B$14,MATCH($B10,'Nivel requerido'!$A$5:$A$14,0))-C10))</f>
        <v/>
      </c>
      <c r="R10" s="11" t="str">
        <f aca="false">IF(OR($B10="",D10=""),"",MAX(0,INDEX('Nivel requerido'!C$5:C$14,MATCH($B10,'Nivel requerido'!$A$5:$A$14,0))-D10))</f>
        <v/>
      </c>
      <c r="S10" s="11" t="str">
        <f aca="false">IF(OR($B10="",E10=""),"",MAX(0,INDEX('Nivel requerido'!D$5:D$14,MATCH($B10,'Nivel requerido'!$A$5:$A$14,0))-E10))</f>
        <v/>
      </c>
      <c r="T10" s="11" t="str">
        <f aca="false">IF(OR($B10="",F10=""),"",MAX(0,INDEX('Nivel requerido'!E$5:E$14,MATCH($B10,'Nivel requerido'!$A$5:$A$14,0))-F10))</f>
        <v/>
      </c>
      <c r="U10" s="11" t="str">
        <f aca="false">IF(OR($B10="",G10=""),"",MAX(0,INDEX('Nivel requerido'!F$5:F$14,MATCH($B10,'Nivel requerido'!$A$5:$A$14,0))-G10))</f>
        <v/>
      </c>
      <c r="V10" s="11" t="str">
        <f aca="false">IF(OR($B10="",H10=""),"",MAX(0,INDEX('Nivel requerido'!G$5:G$14,MATCH($B10,'Nivel requerido'!$A$5:$A$14,0))-H10))</f>
        <v/>
      </c>
      <c r="W10" s="11" t="str">
        <f aca="false">IF(OR($B10="",I10=""),"",MAX(0,INDEX('Nivel requerido'!H$5:H$14,MATCH($B10,'Nivel requerido'!$A$5:$A$14,0))-I10))</f>
        <v/>
      </c>
      <c r="X10" s="11" t="str">
        <f aca="false">IF(OR($B10="",J10=""),"",MAX(0,INDEX('Nivel requerido'!I$5:I$14,MATCH($B10,'Nivel requerido'!$A$5:$A$14,0))-J10))</f>
        <v/>
      </c>
      <c r="Y10" s="11" t="str">
        <f aca="false">IF(OR($B10="",K10=""),"",MAX(0,INDEX('Nivel requerido'!J$5:J$14,MATCH($B10,'Nivel requerido'!$A$5:$A$14,0))-K10))</f>
        <v/>
      </c>
      <c r="Z10" s="11" t="str">
        <f aca="false">IF(OR($B10="",L10=""),"",MAX(0,INDEX('Nivel requerido'!K$5:K$14,MATCH($B10,'Nivel requerido'!$A$5:$A$14,0))-L10))</f>
        <v/>
      </c>
      <c r="AA10" s="11" t="str">
        <f aca="false">IF(OR($B10="",M10=""),"",MAX(0,INDEX('Nivel requerido'!L$5:L$14,MATCH($B10,'Nivel requerido'!$A$5:$A$14,0))-M10))</f>
        <v/>
      </c>
      <c r="AB10" s="11" t="str">
        <f aca="false">IF(OR($B10="",N10=""),"",MAX(0,INDEX('Nivel requerido'!M$5:M$14,MATCH($B10,'Nivel requerido'!$A$5:$A$14,0))-N10))</f>
        <v/>
      </c>
      <c r="AC10" s="11" t="str">
        <f aca="false">IF(OR($B10="",O10=""),"",MAX(0,INDEX('Nivel requerido'!N$5:N$14,MATCH($B10,'Nivel requerido'!$A$5:$A$14,0))-O10))</f>
        <v/>
      </c>
      <c r="AD10" s="11" t="str">
        <f aca="false">IF(OR($B10="",P10=""),"",MAX(0,INDEX('Nivel requerido'!O$5:O$14,MATCH($B10,'Nivel requerido'!$A$5:$A$14,0))-P10))</f>
        <v/>
      </c>
      <c r="AE10" s="12" t="str">
        <f aca="false">IF($B10="","",SUM(Q10:AD10))</f>
        <v/>
      </c>
      <c r="AF10" s="7" t="str">
        <f aca="false">IF(OR($B10="",AE10=0),"",INDEX('Nivel requerido'!$B$4:$O$4,MATCH(MAX(Q10:AD10),Q10:AD10,0)))</f>
        <v/>
      </c>
    </row>
    <row r="11" customFormat="false" ht="15" hidden="false" customHeight="false" outlineLevel="0" collapsed="false">
      <c r="A11" s="6"/>
      <c r="B11" s="6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 t="str">
        <f aca="false">IF(OR($B11="",C11=""),"",MAX(0,INDEX('Nivel requerido'!B$5:B$14,MATCH($B11,'Nivel requerido'!$A$5:$A$14,0))-C11))</f>
        <v/>
      </c>
      <c r="R11" s="11" t="str">
        <f aca="false">IF(OR($B11="",D11=""),"",MAX(0,INDEX('Nivel requerido'!C$5:C$14,MATCH($B11,'Nivel requerido'!$A$5:$A$14,0))-D11))</f>
        <v/>
      </c>
      <c r="S11" s="11" t="str">
        <f aca="false">IF(OR($B11="",E11=""),"",MAX(0,INDEX('Nivel requerido'!D$5:D$14,MATCH($B11,'Nivel requerido'!$A$5:$A$14,0))-E11))</f>
        <v/>
      </c>
      <c r="T11" s="11" t="str">
        <f aca="false">IF(OR($B11="",F11=""),"",MAX(0,INDEX('Nivel requerido'!E$5:E$14,MATCH($B11,'Nivel requerido'!$A$5:$A$14,0))-F11))</f>
        <v/>
      </c>
      <c r="U11" s="11" t="str">
        <f aca="false">IF(OR($B11="",G11=""),"",MAX(0,INDEX('Nivel requerido'!F$5:F$14,MATCH($B11,'Nivel requerido'!$A$5:$A$14,0))-G11))</f>
        <v/>
      </c>
      <c r="V11" s="11" t="str">
        <f aca="false">IF(OR($B11="",H11=""),"",MAX(0,INDEX('Nivel requerido'!G$5:G$14,MATCH($B11,'Nivel requerido'!$A$5:$A$14,0))-H11))</f>
        <v/>
      </c>
      <c r="W11" s="11" t="str">
        <f aca="false">IF(OR($B11="",I11=""),"",MAX(0,INDEX('Nivel requerido'!H$5:H$14,MATCH($B11,'Nivel requerido'!$A$5:$A$14,0))-I11))</f>
        <v/>
      </c>
      <c r="X11" s="11" t="str">
        <f aca="false">IF(OR($B11="",J11=""),"",MAX(0,INDEX('Nivel requerido'!I$5:I$14,MATCH($B11,'Nivel requerido'!$A$5:$A$14,0))-J11))</f>
        <v/>
      </c>
      <c r="Y11" s="11" t="str">
        <f aca="false">IF(OR($B11="",K11=""),"",MAX(0,INDEX('Nivel requerido'!J$5:J$14,MATCH($B11,'Nivel requerido'!$A$5:$A$14,0))-K11))</f>
        <v/>
      </c>
      <c r="Z11" s="11" t="str">
        <f aca="false">IF(OR($B11="",L11=""),"",MAX(0,INDEX('Nivel requerido'!K$5:K$14,MATCH($B11,'Nivel requerido'!$A$5:$A$14,0))-L11))</f>
        <v/>
      </c>
      <c r="AA11" s="11" t="str">
        <f aca="false">IF(OR($B11="",M11=""),"",MAX(0,INDEX('Nivel requerido'!L$5:L$14,MATCH($B11,'Nivel requerido'!$A$5:$A$14,0))-M11))</f>
        <v/>
      </c>
      <c r="AB11" s="11" t="str">
        <f aca="false">IF(OR($B11="",N11=""),"",MAX(0,INDEX('Nivel requerido'!M$5:M$14,MATCH($B11,'Nivel requerido'!$A$5:$A$14,0))-N11))</f>
        <v/>
      </c>
      <c r="AC11" s="11" t="str">
        <f aca="false">IF(OR($B11="",O11=""),"",MAX(0,INDEX('Nivel requerido'!N$5:N$14,MATCH($B11,'Nivel requerido'!$A$5:$A$14,0))-O11))</f>
        <v/>
      </c>
      <c r="AD11" s="11" t="str">
        <f aca="false">IF(OR($B11="",P11=""),"",MAX(0,INDEX('Nivel requerido'!O$5:O$14,MATCH($B11,'Nivel requerido'!$A$5:$A$14,0))-P11))</f>
        <v/>
      </c>
      <c r="AE11" s="12" t="str">
        <f aca="false">IF($B11="","",SUM(Q11:AD11))</f>
        <v/>
      </c>
      <c r="AF11" s="7" t="str">
        <f aca="false">IF(OR($B11="",AE11=0),"",INDEX('Nivel requerido'!$B$4:$O$4,MATCH(MAX(Q11:AD11),Q11:AD11,0)))</f>
        <v/>
      </c>
    </row>
    <row r="12" customFormat="false" ht="15" hidden="false" customHeight="false" outlineLevel="0" collapsed="false">
      <c r="A12" s="6"/>
      <c r="B12" s="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 t="str">
        <f aca="false">IF(OR($B12="",C12=""),"",MAX(0,INDEX('Nivel requerido'!B$5:B$14,MATCH($B12,'Nivel requerido'!$A$5:$A$14,0))-C12))</f>
        <v/>
      </c>
      <c r="R12" s="11" t="str">
        <f aca="false">IF(OR($B12="",D12=""),"",MAX(0,INDEX('Nivel requerido'!C$5:C$14,MATCH($B12,'Nivel requerido'!$A$5:$A$14,0))-D12))</f>
        <v/>
      </c>
      <c r="S12" s="11" t="str">
        <f aca="false">IF(OR($B12="",E12=""),"",MAX(0,INDEX('Nivel requerido'!D$5:D$14,MATCH($B12,'Nivel requerido'!$A$5:$A$14,0))-E12))</f>
        <v/>
      </c>
      <c r="T12" s="11" t="str">
        <f aca="false">IF(OR($B12="",F12=""),"",MAX(0,INDEX('Nivel requerido'!E$5:E$14,MATCH($B12,'Nivel requerido'!$A$5:$A$14,0))-F12))</f>
        <v/>
      </c>
      <c r="U12" s="11" t="str">
        <f aca="false">IF(OR($B12="",G12=""),"",MAX(0,INDEX('Nivel requerido'!F$5:F$14,MATCH($B12,'Nivel requerido'!$A$5:$A$14,0))-G12))</f>
        <v/>
      </c>
      <c r="V12" s="11" t="str">
        <f aca="false">IF(OR($B12="",H12=""),"",MAX(0,INDEX('Nivel requerido'!G$5:G$14,MATCH($B12,'Nivel requerido'!$A$5:$A$14,0))-H12))</f>
        <v/>
      </c>
      <c r="W12" s="11" t="str">
        <f aca="false">IF(OR($B12="",I12=""),"",MAX(0,INDEX('Nivel requerido'!H$5:H$14,MATCH($B12,'Nivel requerido'!$A$5:$A$14,0))-I12))</f>
        <v/>
      </c>
      <c r="X12" s="11" t="str">
        <f aca="false">IF(OR($B12="",J12=""),"",MAX(0,INDEX('Nivel requerido'!I$5:I$14,MATCH($B12,'Nivel requerido'!$A$5:$A$14,0))-J12))</f>
        <v/>
      </c>
      <c r="Y12" s="11" t="str">
        <f aca="false">IF(OR($B12="",K12=""),"",MAX(0,INDEX('Nivel requerido'!J$5:J$14,MATCH($B12,'Nivel requerido'!$A$5:$A$14,0))-K12))</f>
        <v/>
      </c>
      <c r="Z12" s="11" t="str">
        <f aca="false">IF(OR($B12="",L12=""),"",MAX(0,INDEX('Nivel requerido'!K$5:K$14,MATCH($B12,'Nivel requerido'!$A$5:$A$14,0))-L12))</f>
        <v/>
      </c>
      <c r="AA12" s="11" t="str">
        <f aca="false">IF(OR($B12="",M12=""),"",MAX(0,INDEX('Nivel requerido'!L$5:L$14,MATCH($B12,'Nivel requerido'!$A$5:$A$14,0))-M12))</f>
        <v/>
      </c>
      <c r="AB12" s="11" t="str">
        <f aca="false">IF(OR($B12="",N12=""),"",MAX(0,INDEX('Nivel requerido'!M$5:M$14,MATCH($B12,'Nivel requerido'!$A$5:$A$14,0))-N12))</f>
        <v/>
      </c>
      <c r="AC12" s="11" t="str">
        <f aca="false">IF(OR($B12="",O12=""),"",MAX(0,INDEX('Nivel requerido'!N$5:N$14,MATCH($B12,'Nivel requerido'!$A$5:$A$14,0))-O12))</f>
        <v/>
      </c>
      <c r="AD12" s="11" t="str">
        <f aca="false">IF(OR($B12="",P12=""),"",MAX(0,INDEX('Nivel requerido'!O$5:O$14,MATCH($B12,'Nivel requerido'!$A$5:$A$14,0))-P12))</f>
        <v/>
      </c>
      <c r="AE12" s="12" t="str">
        <f aca="false">IF($B12="","",SUM(Q12:AD12))</f>
        <v/>
      </c>
      <c r="AF12" s="7" t="str">
        <f aca="false">IF(OR($B12="",AE12=0),"",INDEX('Nivel requerido'!$B$4:$O$4,MATCH(MAX(Q12:AD12),Q12:AD12,0)))</f>
        <v/>
      </c>
    </row>
    <row r="13" customFormat="false" ht="15" hidden="false" customHeight="false" outlineLevel="0" collapsed="false">
      <c r="A13" s="6"/>
      <c r="B13" s="6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 t="str">
        <f aca="false">IF(OR($B13="",C13=""),"",MAX(0,INDEX('Nivel requerido'!B$5:B$14,MATCH($B13,'Nivel requerido'!$A$5:$A$14,0))-C13))</f>
        <v/>
      </c>
      <c r="R13" s="11" t="str">
        <f aca="false">IF(OR($B13="",D13=""),"",MAX(0,INDEX('Nivel requerido'!C$5:C$14,MATCH($B13,'Nivel requerido'!$A$5:$A$14,0))-D13))</f>
        <v/>
      </c>
      <c r="S13" s="11" t="str">
        <f aca="false">IF(OR($B13="",E13=""),"",MAX(0,INDEX('Nivel requerido'!D$5:D$14,MATCH($B13,'Nivel requerido'!$A$5:$A$14,0))-E13))</f>
        <v/>
      </c>
      <c r="T13" s="11" t="str">
        <f aca="false">IF(OR($B13="",F13=""),"",MAX(0,INDEX('Nivel requerido'!E$5:E$14,MATCH($B13,'Nivel requerido'!$A$5:$A$14,0))-F13))</f>
        <v/>
      </c>
      <c r="U13" s="11" t="str">
        <f aca="false">IF(OR($B13="",G13=""),"",MAX(0,INDEX('Nivel requerido'!F$5:F$14,MATCH($B13,'Nivel requerido'!$A$5:$A$14,0))-G13))</f>
        <v/>
      </c>
      <c r="V13" s="11" t="str">
        <f aca="false">IF(OR($B13="",H13=""),"",MAX(0,INDEX('Nivel requerido'!G$5:G$14,MATCH($B13,'Nivel requerido'!$A$5:$A$14,0))-H13))</f>
        <v/>
      </c>
      <c r="W13" s="11" t="str">
        <f aca="false">IF(OR($B13="",I13=""),"",MAX(0,INDEX('Nivel requerido'!H$5:H$14,MATCH($B13,'Nivel requerido'!$A$5:$A$14,0))-I13))</f>
        <v/>
      </c>
      <c r="X13" s="11" t="str">
        <f aca="false">IF(OR($B13="",J13=""),"",MAX(0,INDEX('Nivel requerido'!I$5:I$14,MATCH($B13,'Nivel requerido'!$A$5:$A$14,0))-J13))</f>
        <v/>
      </c>
      <c r="Y13" s="11" t="str">
        <f aca="false">IF(OR($B13="",K13=""),"",MAX(0,INDEX('Nivel requerido'!J$5:J$14,MATCH($B13,'Nivel requerido'!$A$5:$A$14,0))-K13))</f>
        <v/>
      </c>
      <c r="Z13" s="11" t="str">
        <f aca="false">IF(OR($B13="",L13=""),"",MAX(0,INDEX('Nivel requerido'!K$5:K$14,MATCH($B13,'Nivel requerido'!$A$5:$A$14,0))-L13))</f>
        <v/>
      </c>
      <c r="AA13" s="11" t="str">
        <f aca="false">IF(OR($B13="",M13=""),"",MAX(0,INDEX('Nivel requerido'!L$5:L$14,MATCH($B13,'Nivel requerido'!$A$5:$A$14,0))-M13))</f>
        <v/>
      </c>
      <c r="AB13" s="11" t="str">
        <f aca="false">IF(OR($B13="",N13=""),"",MAX(0,INDEX('Nivel requerido'!M$5:M$14,MATCH($B13,'Nivel requerido'!$A$5:$A$14,0))-N13))</f>
        <v/>
      </c>
      <c r="AC13" s="11" t="str">
        <f aca="false">IF(OR($B13="",O13=""),"",MAX(0,INDEX('Nivel requerido'!N$5:N$14,MATCH($B13,'Nivel requerido'!$A$5:$A$14,0))-O13))</f>
        <v/>
      </c>
      <c r="AD13" s="11" t="str">
        <f aca="false">IF(OR($B13="",P13=""),"",MAX(0,INDEX('Nivel requerido'!O$5:O$14,MATCH($B13,'Nivel requerido'!$A$5:$A$14,0))-P13))</f>
        <v/>
      </c>
      <c r="AE13" s="12" t="str">
        <f aca="false">IF($B13="","",SUM(Q13:AD13))</f>
        <v/>
      </c>
      <c r="AF13" s="7" t="str">
        <f aca="false">IF(OR($B13="",AE13=0),"",INDEX('Nivel requerido'!$B$4:$O$4,MATCH(MAX(Q13:AD13),Q13:AD13,0)))</f>
        <v/>
      </c>
    </row>
    <row r="14" customFormat="false" ht="15" hidden="false" customHeight="false" outlineLevel="0" collapsed="false">
      <c r="A14" s="6"/>
      <c r="B14" s="6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 t="str">
        <f aca="false">IF(OR($B14="",C14=""),"",MAX(0,INDEX('Nivel requerido'!B$5:B$14,MATCH($B14,'Nivel requerido'!$A$5:$A$14,0))-C14))</f>
        <v/>
      </c>
      <c r="R14" s="11" t="str">
        <f aca="false">IF(OR($B14="",D14=""),"",MAX(0,INDEX('Nivel requerido'!C$5:C$14,MATCH($B14,'Nivel requerido'!$A$5:$A$14,0))-D14))</f>
        <v/>
      </c>
      <c r="S14" s="11" t="str">
        <f aca="false">IF(OR($B14="",E14=""),"",MAX(0,INDEX('Nivel requerido'!D$5:D$14,MATCH($B14,'Nivel requerido'!$A$5:$A$14,0))-E14))</f>
        <v/>
      </c>
      <c r="T14" s="11" t="str">
        <f aca="false">IF(OR($B14="",F14=""),"",MAX(0,INDEX('Nivel requerido'!E$5:E$14,MATCH($B14,'Nivel requerido'!$A$5:$A$14,0))-F14))</f>
        <v/>
      </c>
      <c r="U14" s="11" t="str">
        <f aca="false">IF(OR($B14="",G14=""),"",MAX(0,INDEX('Nivel requerido'!F$5:F$14,MATCH($B14,'Nivel requerido'!$A$5:$A$14,0))-G14))</f>
        <v/>
      </c>
      <c r="V14" s="11" t="str">
        <f aca="false">IF(OR($B14="",H14=""),"",MAX(0,INDEX('Nivel requerido'!G$5:G$14,MATCH($B14,'Nivel requerido'!$A$5:$A$14,0))-H14))</f>
        <v/>
      </c>
      <c r="W14" s="11" t="str">
        <f aca="false">IF(OR($B14="",I14=""),"",MAX(0,INDEX('Nivel requerido'!H$5:H$14,MATCH($B14,'Nivel requerido'!$A$5:$A$14,0))-I14))</f>
        <v/>
      </c>
      <c r="X14" s="11" t="str">
        <f aca="false">IF(OR($B14="",J14=""),"",MAX(0,INDEX('Nivel requerido'!I$5:I$14,MATCH($B14,'Nivel requerido'!$A$5:$A$14,0))-J14))</f>
        <v/>
      </c>
      <c r="Y14" s="11" t="str">
        <f aca="false">IF(OR($B14="",K14=""),"",MAX(0,INDEX('Nivel requerido'!J$5:J$14,MATCH($B14,'Nivel requerido'!$A$5:$A$14,0))-K14))</f>
        <v/>
      </c>
      <c r="Z14" s="11" t="str">
        <f aca="false">IF(OR($B14="",L14=""),"",MAX(0,INDEX('Nivel requerido'!K$5:K$14,MATCH($B14,'Nivel requerido'!$A$5:$A$14,0))-L14))</f>
        <v/>
      </c>
      <c r="AA14" s="11" t="str">
        <f aca="false">IF(OR($B14="",M14=""),"",MAX(0,INDEX('Nivel requerido'!L$5:L$14,MATCH($B14,'Nivel requerido'!$A$5:$A$14,0))-M14))</f>
        <v/>
      </c>
      <c r="AB14" s="11" t="str">
        <f aca="false">IF(OR($B14="",N14=""),"",MAX(0,INDEX('Nivel requerido'!M$5:M$14,MATCH($B14,'Nivel requerido'!$A$5:$A$14,0))-N14))</f>
        <v/>
      </c>
      <c r="AC14" s="11" t="str">
        <f aca="false">IF(OR($B14="",O14=""),"",MAX(0,INDEX('Nivel requerido'!N$5:N$14,MATCH($B14,'Nivel requerido'!$A$5:$A$14,0))-O14))</f>
        <v/>
      </c>
      <c r="AD14" s="11" t="str">
        <f aca="false">IF(OR($B14="",P14=""),"",MAX(0,INDEX('Nivel requerido'!O$5:O$14,MATCH($B14,'Nivel requerido'!$A$5:$A$14,0))-P14))</f>
        <v/>
      </c>
      <c r="AE14" s="12" t="str">
        <f aca="false">IF($B14="","",SUM(Q14:AD14))</f>
        <v/>
      </c>
      <c r="AF14" s="7" t="str">
        <f aca="false">IF(OR($B14="",AE14=0),"",INDEX('Nivel requerido'!$B$4:$O$4,MATCH(MAX(Q14:AD14),Q14:AD14,0)))</f>
        <v/>
      </c>
    </row>
    <row r="15" customFormat="false" ht="15" hidden="false" customHeight="false" outlineLevel="0" collapsed="false">
      <c r="A15" s="6"/>
      <c r="B15" s="6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 t="str">
        <f aca="false">IF(OR($B15="",C15=""),"",MAX(0,INDEX('Nivel requerido'!B$5:B$14,MATCH($B15,'Nivel requerido'!$A$5:$A$14,0))-C15))</f>
        <v/>
      </c>
      <c r="R15" s="11" t="str">
        <f aca="false">IF(OR($B15="",D15=""),"",MAX(0,INDEX('Nivel requerido'!C$5:C$14,MATCH($B15,'Nivel requerido'!$A$5:$A$14,0))-D15))</f>
        <v/>
      </c>
      <c r="S15" s="11" t="str">
        <f aca="false">IF(OR($B15="",E15=""),"",MAX(0,INDEX('Nivel requerido'!D$5:D$14,MATCH($B15,'Nivel requerido'!$A$5:$A$14,0))-E15))</f>
        <v/>
      </c>
      <c r="T15" s="11" t="str">
        <f aca="false">IF(OR($B15="",F15=""),"",MAX(0,INDEX('Nivel requerido'!E$5:E$14,MATCH($B15,'Nivel requerido'!$A$5:$A$14,0))-F15))</f>
        <v/>
      </c>
      <c r="U15" s="11" t="str">
        <f aca="false">IF(OR($B15="",G15=""),"",MAX(0,INDEX('Nivel requerido'!F$5:F$14,MATCH($B15,'Nivel requerido'!$A$5:$A$14,0))-G15))</f>
        <v/>
      </c>
      <c r="V15" s="11" t="str">
        <f aca="false">IF(OR($B15="",H15=""),"",MAX(0,INDEX('Nivel requerido'!G$5:G$14,MATCH($B15,'Nivel requerido'!$A$5:$A$14,0))-H15))</f>
        <v/>
      </c>
      <c r="W15" s="11" t="str">
        <f aca="false">IF(OR($B15="",I15=""),"",MAX(0,INDEX('Nivel requerido'!H$5:H$14,MATCH($B15,'Nivel requerido'!$A$5:$A$14,0))-I15))</f>
        <v/>
      </c>
      <c r="X15" s="11" t="str">
        <f aca="false">IF(OR($B15="",J15=""),"",MAX(0,INDEX('Nivel requerido'!I$5:I$14,MATCH($B15,'Nivel requerido'!$A$5:$A$14,0))-J15))</f>
        <v/>
      </c>
      <c r="Y15" s="11" t="str">
        <f aca="false">IF(OR($B15="",K15=""),"",MAX(0,INDEX('Nivel requerido'!J$5:J$14,MATCH($B15,'Nivel requerido'!$A$5:$A$14,0))-K15))</f>
        <v/>
      </c>
      <c r="Z15" s="11" t="str">
        <f aca="false">IF(OR($B15="",L15=""),"",MAX(0,INDEX('Nivel requerido'!K$5:K$14,MATCH($B15,'Nivel requerido'!$A$5:$A$14,0))-L15))</f>
        <v/>
      </c>
      <c r="AA15" s="11" t="str">
        <f aca="false">IF(OR($B15="",M15=""),"",MAX(0,INDEX('Nivel requerido'!L$5:L$14,MATCH($B15,'Nivel requerido'!$A$5:$A$14,0))-M15))</f>
        <v/>
      </c>
      <c r="AB15" s="11" t="str">
        <f aca="false">IF(OR($B15="",N15=""),"",MAX(0,INDEX('Nivel requerido'!M$5:M$14,MATCH($B15,'Nivel requerido'!$A$5:$A$14,0))-N15))</f>
        <v/>
      </c>
      <c r="AC15" s="11" t="str">
        <f aca="false">IF(OR($B15="",O15=""),"",MAX(0,INDEX('Nivel requerido'!N$5:N$14,MATCH($B15,'Nivel requerido'!$A$5:$A$14,0))-O15))</f>
        <v/>
      </c>
      <c r="AD15" s="11" t="str">
        <f aca="false">IF(OR($B15="",P15=""),"",MAX(0,INDEX('Nivel requerido'!O$5:O$14,MATCH($B15,'Nivel requerido'!$A$5:$A$14,0))-P15))</f>
        <v/>
      </c>
      <c r="AE15" s="12" t="str">
        <f aca="false">IF($B15="","",SUM(Q15:AD15))</f>
        <v/>
      </c>
      <c r="AF15" s="7" t="str">
        <f aca="false">IF(OR($B15="",AE15=0),"",INDEX('Nivel requerido'!$B$4:$O$4,MATCH(MAX(Q15:AD15),Q15:AD15,0)))</f>
        <v/>
      </c>
    </row>
    <row r="16" customFormat="false" ht="15" hidden="false" customHeight="false" outlineLevel="0" collapsed="false">
      <c r="A16" s="6"/>
      <c r="B16" s="6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 t="str">
        <f aca="false">IF(OR($B16="",C16=""),"",MAX(0,INDEX('Nivel requerido'!B$5:B$14,MATCH($B16,'Nivel requerido'!$A$5:$A$14,0))-C16))</f>
        <v/>
      </c>
      <c r="R16" s="11" t="str">
        <f aca="false">IF(OR($B16="",D16=""),"",MAX(0,INDEX('Nivel requerido'!C$5:C$14,MATCH($B16,'Nivel requerido'!$A$5:$A$14,0))-D16))</f>
        <v/>
      </c>
      <c r="S16" s="11" t="str">
        <f aca="false">IF(OR($B16="",E16=""),"",MAX(0,INDEX('Nivel requerido'!D$5:D$14,MATCH($B16,'Nivel requerido'!$A$5:$A$14,0))-E16))</f>
        <v/>
      </c>
      <c r="T16" s="11" t="str">
        <f aca="false">IF(OR($B16="",F16=""),"",MAX(0,INDEX('Nivel requerido'!E$5:E$14,MATCH($B16,'Nivel requerido'!$A$5:$A$14,0))-F16))</f>
        <v/>
      </c>
      <c r="U16" s="11" t="str">
        <f aca="false">IF(OR($B16="",G16=""),"",MAX(0,INDEX('Nivel requerido'!F$5:F$14,MATCH($B16,'Nivel requerido'!$A$5:$A$14,0))-G16))</f>
        <v/>
      </c>
      <c r="V16" s="11" t="str">
        <f aca="false">IF(OR($B16="",H16=""),"",MAX(0,INDEX('Nivel requerido'!G$5:G$14,MATCH($B16,'Nivel requerido'!$A$5:$A$14,0))-H16))</f>
        <v/>
      </c>
      <c r="W16" s="11" t="str">
        <f aca="false">IF(OR($B16="",I16=""),"",MAX(0,INDEX('Nivel requerido'!H$5:H$14,MATCH($B16,'Nivel requerido'!$A$5:$A$14,0))-I16))</f>
        <v/>
      </c>
      <c r="X16" s="11" t="str">
        <f aca="false">IF(OR($B16="",J16=""),"",MAX(0,INDEX('Nivel requerido'!I$5:I$14,MATCH($B16,'Nivel requerido'!$A$5:$A$14,0))-J16))</f>
        <v/>
      </c>
      <c r="Y16" s="11" t="str">
        <f aca="false">IF(OR($B16="",K16=""),"",MAX(0,INDEX('Nivel requerido'!J$5:J$14,MATCH($B16,'Nivel requerido'!$A$5:$A$14,0))-K16))</f>
        <v/>
      </c>
      <c r="Z16" s="11" t="str">
        <f aca="false">IF(OR($B16="",L16=""),"",MAX(0,INDEX('Nivel requerido'!K$5:K$14,MATCH($B16,'Nivel requerido'!$A$5:$A$14,0))-L16))</f>
        <v/>
      </c>
      <c r="AA16" s="11" t="str">
        <f aca="false">IF(OR($B16="",M16=""),"",MAX(0,INDEX('Nivel requerido'!L$5:L$14,MATCH($B16,'Nivel requerido'!$A$5:$A$14,0))-M16))</f>
        <v/>
      </c>
      <c r="AB16" s="11" t="str">
        <f aca="false">IF(OR($B16="",N16=""),"",MAX(0,INDEX('Nivel requerido'!M$5:M$14,MATCH($B16,'Nivel requerido'!$A$5:$A$14,0))-N16))</f>
        <v/>
      </c>
      <c r="AC16" s="11" t="str">
        <f aca="false">IF(OR($B16="",O16=""),"",MAX(0,INDEX('Nivel requerido'!N$5:N$14,MATCH($B16,'Nivel requerido'!$A$5:$A$14,0))-O16))</f>
        <v/>
      </c>
      <c r="AD16" s="11" t="str">
        <f aca="false">IF(OR($B16="",P16=""),"",MAX(0,INDEX('Nivel requerido'!O$5:O$14,MATCH($B16,'Nivel requerido'!$A$5:$A$14,0))-P16))</f>
        <v/>
      </c>
      <c r="AE16" s="12" t="str">
        <f aca="false">IF($B16="","",SUM(Q16:AD16))</f>
        <v/>
      </c>
      <c r="AF16" s="7" t="str">
        <f aca="false">IF(OR($B16="",AE16=0),"",INDEX('Nivel requerido'!$B$4:$O$4,MATCH(MAX(Q16:AD16),Q16:AD16,0)))</f>
        <v/>
      </c>
    </row>
    <row r="17" customFormat="false" ht="15" hidden="false" customHeight="false" outlineLevel="0" collapsed="false">
      <c r="A17" s="6"/>
      <c r="B17" s="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 t="str">
        <f aca="false">IF(OR($B17="",C17=""),"",MAX(0,INDEX('Nivel requerido'!B$5:B$14,MATCH($B17,'Nivel requerido'!$A$5:$A$14,0))-C17))</f>
        <v/>
      </c>
      <c r="R17" s="11" t="str">
        <f aca="false">IF(OR($B17="",D17=""),"",MAX(0,INDEX('Nivel requerido'!C$5:C$14,MATCH($B17,'Nivel requerido'!$A$5:$A$14,0))-D17))</f>
        <v/>
      </c>
      <c r="S17" s="11" t="str">
        <f aca="false">IF(OR($B17="",E17=""),"",MAX(0,INDEX('Nivel requerido'!D$5:D$14,MATCH($B17,'Nivel requerido'!$A$5:$A$14,0))-E17))</f>
        <v/>
      </c>
      <c r="T17" s="11" t="str">
        <f aca="false">IF(OR($B17="",F17=""),"",MAX(0,INDEX('Nivel requerido'!E$5:E$14,MATCH($B17,'Nivel requerido'!$A$5:$A$14,0))-F17))</f>
        <v/>
      </c>
      <c r="U17" s="11" t="str">
        <f aca="false">IF(OR($B17="",G17=""),"",MAX(0,INDEX('Nivel requerido'!F$5:F$14,MATCH($B17,'Nivel requerido'!$A$5:$A$14,0))-G17))</f>
        <v/>
      </c>
      <c r="V17" s="11" t="str">
        <f aca="false">IF(OR($B17="",H17=""),"",MAX(0,INDEX('Nivel requerido'!G$5:G$14,MATCH($B17,'Nivel requerido'!$A$5:$A$14,0))-H17))</f>
        <v/>
      </c>
      <c r="W17" s="11" t="str">
        <f aca="false">IF(OR($B17="",I17=""),"",MAX(0,INDEX('Nivel requerido'!H$5:H$14,MATCH($B17,'Nivel requerido'!$A$5:$A$14,0))-I17))</f>
        <v/>
      </c>
      <c r="X17" s="11" t="str">
        <f aca="false">IF(OR($B17="",J17=""),"",MAX(0,INDEX('Nivel requerido'!I$5:I$14,MATCH($B17,'Nivel requerido'!$A$5:$A$14,0))-J17))</f>
        <v/>
      </c>
      <c r="Y17" s="11" t="str">
        <f aca="false">IF(OR($B17="",K17=""),"",MAX(0,INDEX('Nivel requerido'!J$5:J$14,MATCH($B17,'Nivel requerido'!$A$5:$A$14,0))-K17))</f>
        <v/>
      </c>
      <c r="Z17" s="11" t="str">
        <f aca="false">IF(OR($B17="",L17=""),"",MAX(0,INDEX('Nivel requerido'!K$5:K$14,MATCH($B17,'Nivel requerido'!$A$5:$A$14,0))-L17))</f>
        <v/>
      </c>
      <c r="AA17" s="11" t="str">
        <f aca="false">IF(OR($B17="",M17=""),"",MAX(0,INDEX('Nivel requerido'!L$5:L$14,MATCH($B17,'Nivel requerido'!$A$5:$A$14,0))-M17))</f>
        <v/>
      </c>
      <c r="AB17" s="11" t="str">
        <f aca="false">IF(OR($B17="",N17=""),"",MAX(0,INDEX('Nivel requerido'!M$5:M$14,MATCH($B17,'Nivel requerido'!$A$5:$A$14,0))-N17))</f>
        <v/>
      </c>
      <c r="AC17" s="11" t="str">
        <f aca="false">IF(OR($B17="",O17=""),"",MAX(0,INDEX('Nivel requerido'!N$5:N$14,MATCH($B17,'Nivel requerido'!$A$5:$A$14,0))-O17))</f>
        <v/>
      </c>
      <c r="AD17" s="11" t="str">
        <f aca="false">IF(OR($B17="",P17=""),"",MAX(0,INDEX('Nivel requerido'!O$5:O$14,MATCH($B17,'Nivel requerido'!$A$5:$A$14,0))-P17))</f>
        <v/>
      </c>
      <c r="AE17" s="12" t="str">
        <f aca="false">IF($B17="","",SUM(Q17:AD17))</f>
        <v/>
      </c>
      <c r="AF17" s="7" t="str">
        <f aca="false">IF(OR($B17="",AE17=0),"",INDEX('Nivel requerido'!$B$4:$O$4,MATCH(MAX(Q17:AD17),Q17:AD17,0)))</f>
        <v/>
      </c>
    </row>
    <row r="18" customFormat="false" ht="15" hidden="false" customHeight="false" outlineLevel="0" collapsed="false">
      <c r="A18" s="6"/>
      <c r="B18" s="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 t="str">
        <f aca="false">IF(OR($B18="",C18=""),"",MAX(0,INDEX('Nivel requerido'!B$5:B$14,MATCH($B18,'Nivel requerido'!$A$5:$A$14,0))-C18))</f>
        <v/>
      </c>
      <c r="R18" s="11" t="str">
        <f aca="false">IF(OR($B18="",D18=""),"",MAX(0,INDEX('Nivel requerido'!C$5:C$14,MATCH($B18,'Nivel requerido'!$A$5:$A$14,0))-D18))</f>
        <v/>
      </c>
      <c r="S18" s="11" t="str">
        <f aca="false">IF(OR($B18="",E18=""),"",MAX(0,INDEX('Nivel requerido'!D$5:D$14,MATCH($B18,'Nivel requerido'!$A$5:$A$14,0))-E18))</f>
        <v/>
      </c>
      <c r="T18" s="11" t="str">
        <f aca="false">IF(OR($B18="",F18=""),"",MAX(0,INDEX('Nivel requerido'!E$5:E$14,MATCH($B18,'Nivel requerido'!$A$5:$A$14,0))-F18))</f>
        <v/>
      </c>
      <c r="U18" s="11" t="str">
        <f aca="false">IF(OR($B18="",G18=""),"",MAX(0,INDEX('Nivel requerido'!F$5:F$14,MATCH($B18,'Nivel requerido'!$A$5:$A$14,0))-G18))</f>
        <v/>
      </c>
      <c r="V18" s="11" t="str">
        <f aca="false">IF(OR($B18="",H18=""),"",MAX(0,INDEX('Nivel requerido'!G$5:G$14,MATCH($B18,'Nivel requerido'!$A$5:$A$14,0))-H18))</f>
        <v/>
      </c>
      <c r="W18" s="11" t="str">
        <f aca="false">IF(OR($B18="",I18=""),"",MAX(0,INDEX('Nivel requerido'!H$5:H$14,MATCH($B18,'Nivel requerido'!$A$5:$A$14,0))-I18))</f>
        <v/>
      </c>
      <c r="X18" s="11" t="str">
        <f aca="false">IF(OR($B18="",J18=""),"",MAX(0,INDEX('Nivel requerido'!I$5:I$14,MATCH($B18,'Nivel requerido'!$A$5:$A$14,0))-J18))</f>
        <v/>
      </c>
      <c r="Y18" s="11" t="str">
        <f aca="false">IF(OR($B18="",K18=""),"",MAX(0,INDEX('Nivel requerido'!J$5:J$14,MATCH($B18,'Nivel requerido'!$A$5:$A$14,0))-K18))</f>
        <v/>
      </c>
      <c r="Z18" s="11" t="str">
        <f aca="false">IF(OR($B18="",L18=""),"",MAX(0,INDEX('Nivel requerido'!K$5:K$14,MATCH($B18,'Nivel requerido'!$A$5:$A$14,0))-L18))</f>
        <v/>
      </c>
      <c r="AA18" s="11" t="str">
        <f aca="false">IF(OR($B18="",M18=""),"",MAX(0,INDEX('Nivel requerido'!L$5:L$14,MATCH($B18,'Nivel requerido'!$A$5:$A$14,0))-M18))</f>
        <v/>
      </c>
      <c r="AB18" s="11" t="str">
        <f aca="false">IF(OR($B18="",N18=""),"",MAX(0,INDEX('Nivel requerido'!M$5:M$14,MATCH($B18,'Nivel requerido'!$A$5:$A$14,0))-N18))</f>
        <v/>
      </c>
      <c r="AC18" s="11" t="str">
        <f aca="false">IF(OR($B18="",O18=""),"",MAX(0,INDEX('Nivel requerido'!N$5:N$14,MATCH($B18,'Nivel requerido'!$A$5:$A$14,0))-O18))</f>
        <v/>
      </c>
      <c r="AD18" s="11" t="str">
        <f aca="false">IF(OR($B18="",P18=""),"",MAX(0,INDEX('Nivel requerido'!O$5:O$14,MATCH($B18,'Nivel requerido'!$A$5:$A$14,0))-P18))</f>
        <v/>
      </c>
      <c r="AE18" s="12" t="str">
        <f aca="false">IF($B18="","",SUM(Q18:AD18))</f>
        <v/>
      </c>
      <c r="AF18" s="7" t="str">
        <f aca="false">IF(OR($B18="",AE18=0),"",INDEX('Nivel requerido'!$B$4:$O$4,MATCH(MAX(Q18:AD18),Q18:AD18,0)))</f>
        <v/>
      </c>
    </row>
    <row r="19" customFormat="false" ht="15" hidden="false" customHeight="false" outlineLevel="0" collapsed="false">
      <c r="A19" s="6"/>
      <c r="B19" s="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 t="str">
        <f aca="false">IF(OR($B19="",C19=""),"",MAX(0,INDEX('Nivel requerido'!B$5:B$14,MATCH($B19,'Nivel requerido'!$A$5:$A$14,0))-C19))</f>
        <v/>
      </c>
      <c r="R19" s="11" t="str">
        <f aca="false">IF(OR($B19="",D19=""),"",MAX(0,INDEX('Nivel requerido'!C$5:C$14,MATCH($B19,'Nivel requerido'!$A$5:$A$14,0))-D19))</f>
        <v/>
      </c>
      <c r="S19" s="11" t="str">
        <f aca="false">IF(OR($B19="",E19=""),"",MAX(0,INDEX('Nivel requerido'!D$5:D$14,MATCH($B19,'Nivel requerido'!$A$5:$A$14,0))-E19))</f>
        <v/>
      </c>
      <c r="T19" s="11" t="str">
        <f aca="false">IF(OR($B19="",F19=""),"",MAX(0,INDEX('Nivel requerido'!E$5:E$14,MATCH($B19,'Nivel requerido'!$A$5:$A$14,0))-F19))</f>
        <v/>
      </c>
      <c r="U19" s="11" t="str">
        <f aca="false">IF(OR($B19="",G19=""),"",MAX(0,INDEX('Nivel requerido'!F$5:F$14,MATCH($B19,'Nivel requerido'!$A$5:$A$14,0))-G19))</f>
        <v/>
      </c>
      <c r="V19" s="11" t="str">
        <f aca="false">IF(OR($B19="",H19=""),"",MAX(0,INDEX('Nivel requerido'!G$5:G$14,MATCH($B19,'Nivel requerido'!$A$5:$A$14,0))-H19))</f>
        <v/>
      </c>
      <c r="W19" s="11" t="str">
        <f aca="false">IF(OR($B19="",I19=""),"",MAX(0,INDEX('Nivel requerido'!H$5:H$14,MATCH($B19,'Nivel requerido'!$A$5:$A$14,0))-I19))</f>
        <v/>
      </c>
      <c r="X19" s="11" t="str">
        <f aca="false">IF(OR($B19="",J19=""),"",MAX(0,INDEX('Nivel requerido'!I$5:I$14,MATCH($B19,'Nivel requerido'!$A$5:$A$14,0))-J19))</f>
        <v/>
      </c>
      <c r="Y19" s="11" t="str">
        <f aca="false">IF(OR($B19="",K19=""),"",MAX(0,INDEX('Nivel requerido'!J$5:J$14,MATCH($B19,'Nivel requerido'!$A$5:$A$14,0))-K19))</f>
        <v/>
      </c>
      <c r="Z19" s="11" t="str">
        <f aca="false">IF(OR($B19="",L19=""),"",MAX(0,INDEX('Nivel requerido'!K$5:K$14,MATCH($B19,'Nivel requerido'!$A$5:$A$14,0))-L19))</f>
        <v/>
      </c>
      <c r="AA19" s="11" t="str">
        <f aca="false">IF(OR($B19="",M19=""),"",MAX(0,INDEX('Nivel requerido'!L$5:L$14,MATCH($B19,'Nivel requerido'!$A$5:$A$14,0))-M19))</f>
        <v/>
      </c>
      <c r="AB19" s="11" t="str">
        <f aca="false">IF(OR($B19="",N19=""),"",MAX(0,INDEX('Nivel requerido'!M$5:M$14,MATCH($B19,'Nivel requerido'!$A$5:$A$14,0))-N19))</f>
        <v/>
      </c>
      <c r="AC19" s="11" t="str">
        <f aca="false">IF(OR($B19="",O19=""),"",MAX(0,INDEX('Nivel requerido'!N$5:N$14,MATCH($B19,'Nivel requerido'!$A$5:$A$14,0))-O19))</f>
        <v/>
      </c>
      <c r="AD19" s="11" t="str">
        <f aca="false">IF(OR($B19="",P19=""),"",MAX(0,INDEX('Nivel requerido'!O$5:O$14,MATCH($B19,'Nivel requerido'!$A$5:$A$14,0))-P19))</f>
        <v/>
      </c>
      <c r="AE19" s="12" t="str">
        <f aca="false">IF($B19="","",SUM(Q19:AD19))</f>
        <v/>
      </c>
      <c r="AF19" s="7" t="str">
        <f aca="false">IF(OR($B19="",AE19=0),"",INDEX('Nivel requerido'!$B$4:$O$4,MATCH(MAX(Q19:AD19),Q19:AD19,0)))</f>
        <v/>
      </c>
    </row>
    <row r="20" customFormat="false" ht="15" hidden="false" customHeight="false" outlineLevel="0" collapsed="false">
      <c r="A20" s="6"/>
      <c r="B20" s="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 t="str">
        <f aca="false">IF(OR($B20="",C20=""),"",MAX(0,INDEX('Nivel requerido'!B$5:B$14,MATCH($B20,'Nivel requerido'!$A$5:$A$14,0))-C20))</f>
        <v/>
      </c>
      <c r="R20" s="11" t="str">
        <f aca="false">IF(OR($B20="",D20=""),"",MAX(0,INDEX('Nivel requerido'!C$5:C$14,MATCH($B20,'Nivel requerido'!$A$5:$A$14,0))-D20))</f>
        <v/>
      </c>
      <c r="S20" s="11" t="str">
        <f aca="false">IF(OR($B20="",E20=""),"",MAX(0,INDEX('Nivel requerido'!D$5:D$14,MATCH($B20,'Nivel requerido'!$A$5:$A$14,0))-E20))</f>
        <v/>
      </c>
      <c r="T20" s="11" t="str">
        <f aca="false">IF(OR($B20="",F20=""),"",MAX(0,INDEX('Nivel requerido'!E$5:E$14,MATCH($B20,'Nivel requerido'!$A$5:$A$14,0))-F20))</f>
        <v/>
      </c>
      <c r="U20" s="11" t="str">
        <f aca="false">IF(OR($B20="",G20=""),"",MAX(0,INDEX('Nivel requerido'!F$5:F$14,MATCH($B20,'Nivel requerido'!$A$5:$A$14,0))-G20))</f>
        <v/>
      </c>
      <c r="V20" s="11" t="str">
        <f aca="false">IF(OR($B20="",H20=""),"",MAX(0,INDEX('Nivel requerido'!G$5:G$14,MATCH($B20,'Nivel requerido'!$A$5:$A$14,0))-H20))</f>
        <v/>
      </c>
      <c r="W20" s="11" t="str">
        <f aca="false">IF(OR($B20="",I20=""),"",MAX(0,INDEX('Nivel requerido'!H$5:H$14,MATCH($B20,'Nivel requerido'!$A$5:$A$14,0))-I20))</f>
        <v/>
      </c>
      <c r="X20" s="11" t="str">
        <f aca="false">IF(OR($B20="",J20=""),"",MAX(0,INDEX('Nivel requerido'!I$5:I$14,MATCH($B20,'Nivel requerido'!$A$5:$A$14,0))-J20))</f>
        <v/>
      </c>
      <c r="Y20" s="11" t="str">
        <f aca="false">IF(OR($B20="",K20=""),"",MAX(0,INDEX('Nivel requerido'!J$5:J$14,MATCH($B20,'Nivel requerido'!$A$5:$A$14,0))-K20))</f>
        <v/>
      </c>
      <c r="Z20" s="11" t="str">
        <f aca="false">IF(OR($B20="",L20=""),"",MAX(0,INDEX('Nivel requerido'!K$5:K$14,MATCH($B20,'Nivel requerido'!$A$5:$A$14,0))-L20))</f>
        <v/>
      </c>
      <c r="AA20" s="11" t="str">
        <f aca="false">IF(OR($B20="",M20=""),"",MAX(0,INDEX('Nivel requerido'!L$5:L$14,MATCH($B20,'Nivel requerido'!$A$5:$A$14,0))-M20))</f>
        <v/>
      </c>
      <c r="AB20" s="11" t="str">
        <f aca="false">IF(OR($B20="",N20=""),"",MAX(0,INDEX('Nivel requerido'!M$5:M$14,MATCH($B20,'Nivel requerido'!$A$5:$A$14,0))-N20))</f>
        <v/>
      </c>
      <c r="AC20" s="11" t="str">
        <f aca="false">IF(OR($B20="",O20=""),"",MAX(0,INDEX('Nivel requerido'!N$5:N$14,MATCH($B20,'Nivel requerido'!$A$5:$A$14,0))-O20))</f>
        <v/>
      </c>
      <c r="AD20" s="11" t="str">
        <f aca="false">IF(OR($B20="",P20=""),"",MAX(0,INDEX('Nivel requerido'!O$5:O$14,MATCH($B20,'Nivel requerido'!$A$5:$A$14,0))-P20))</f>
        <v/>
      </c>
      <c r="AE20" s="12" t="str">
        <f aca="false">IF($B20="","",SUM(Q20:AD20))</f>
        <v/>
      </c>
      <c r="AF20" s="7" t="str">
        <f aca="false">IF(OR($B20="",AE20=0),"",INDEX('Nivel requerido'!$B$4:$O$4,MATCH(MAX(Q20:AD20),Q20:AD20,0)))</f>
        <v/>
      </c>
    </row>
    <row r="21" customFormat="false" ht="15" hidden="false" customHeight="false" outlineLevel="0" collapsed="false">
      <c r="A21" s="6"/>
      <c r="B21" s="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 t="str">
        <f aca="false">IF(OR($B21="",C21=""),"",MAX(0,INDEX('Nivel requerido'!B$5:B$14,MATCH($B21,'Nivel requerido'!$A$5:$A$14,0))-C21))</f>
        <v/>
      </c>
      <c r="R21" s="11" t="str">
        <f aca="false">IF(OR($B21="",D21=""),"",MAX(0,INDEX('Nivel requerido'!C$5:C$14,MATCH($B21,'Nivel requerido'!$A$5:$A$14,0))-D21))</f>
        <v/>
      </c>
      <c r="S21" s="11" t="str">
        <f aca="false">IF(OR($B21="",E21=""),"",MAX(0,INDEX('Nivel requerido'!D$5:D$14,MATCH($B21,'Nivel requerido'!$A$5:$A$14,0))-E21))</f>
        <v/>
      </c>
      <c r="T21" s="11" t="str">
        <f aca="false">IF(OR($B21="",F21=""),"",MAX(0,INDEX('Nivel requerido'!E$5:E$14,MATCH($B21,'Nivel requerido'!$A$5:$A$14,0))-F21))</f>
        <v/>
      </c>
      <c r="U21" s="11" t="str">
        <f aca="false">IF(OR($B21="",G21=""),"",MAX(0,INDEX('Nivel requerido'!F$5:F$14,MATCH($B21,'Nivel requerido'!$A$5:$A$14,0))-G21))</f>
        <v/>
      </c>
      <c r="V21" s="11" t="str">
        <f aca="false">IF(OR($B21="",H21=""),"",MAX(0,INDEX('Nivel requerido'!G$5:G$14,MATCH($B21,'Nivel requerido'!$A$5:$A$14,0))-H21))</f>
        <v/>
      </c>
      <c r="W21" s="11" t="str">
        <f aca="false">IF(OR($B21="",I21=""),"",MAX(0,INDEX('Nivel requerido'!H$5:H$14,MATCH($B21,'Nivel requerido'!$A$5:$A$14,0))-I21))</f>
        <v/>
      </c>
      <c r="X21" s="11" t="str">
        <f aca="false">IF(OR($B21="",J21=""),"",MAX(0,INDEX('Nivel requerido'!I$5:I$14,MATCH($B21,'Nivel requerido'!$A$5:$A$14,0))-J21))</f>
        <v/>
      </c>
      <c r="Y21" s="11" t="str">
        <f aca="false">IF(OR($B21="",K21=""),"",MAX(0,INDEX('Nivel requerido'!J$5:J$14,MATCH($B21,'Nivel requerido'!$A$5:$A$14,0))-K21))</f>
        <v/>
      </c>
      <c r="Z21" s="11" t="str">
        <f aca="false">IF(OR($B21="",L21=""),"",MAX(0,INDEX('Nivel requerido'!K$5:K$14,MATCH($B21,'Nivel requerido'!$A$5:$A$14,0))-L21))</f>
        <v/>
      </c>
      <c r="AA21" s="11" t="str">
        <f aca="false">IF(OR($B21="",M21=""),"",MAX(0,INDEX('Nivel requerido'!L$5:L$14,MATCH($B21,'Nivel requerido'!$A$5:$A$14,0))-M21))</f>
        <v/>
      </c>
      <c r="AB21" s="11" t="str">
        <f aca="false">IF(OR($B21="",N21=""),"",MAX(0,INDEX('Nivel requerido'!M$5:M$14,MATCH($B21,'Nivel requerido'!$A$5:$A$14,0))-N21))</f>
        <v/>
      </c>
      <c r="AC21" s="11" t="str">
        <f aca="false">IF(OR($B21="",O21=""),"",MAX(0,INDEX('Nivel requerido'!N$5:N$14,MATCH($B21,'Nivel requerido'!$A$5:$A$14,0))-O21))</f>
        <v/>
      </c>
      <c r="AD21" s="11" t="str">
        <f aca="false">IF(OR($B21="",P21=""),"",MAX(0,INDEX('Nivel requerido'!O$5:O$14,MATCH($B21,'Nivel requerido'!$A$5:$A$14,0))-P21))</f>
        <v/>
      </c>
      <c r="AE21" s="12" t="str">
        <f aca="false">IF($B21="","",SUM(Q21:AD21))</f>
        <v/>
      </c>
      <c r="AF21" s="7" t="str">
        <f aca="false">IF(OR($B21="",AE21=0),"",INDEX('Nivel requerido'!$B$4:$O$4,MATCH(MAX(Q21:AD21),Q21:AD21,0)))</f>
        <v/>
      </c>
    </row>
    <row r="22" customFormat="false" ht="15" hidden="false" customHeight="false" outlineLevel="0" collapsed="false">
      <c r="A22" s="6"/>
      <c r="B22" s="6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 t="str">
        <f aca="false">IF(OR($B22="",C22=""),"",MAX(0,INDEX('Nivel requerido'!B$5:B$14,MATCH($B22,'Nivel requerido'!$A$5:$A$14,0))-C22))</f>
        <v/>
      </c>
      <c r="R22" s="11" t="str">
        <f aca="false">IF(OR($B22="",D22=""),"",MAX(0,INDEX('Nivel requerido'!C$5:C$14,MATCH($B22,'Nivel requerido'!$A$5:$A$14,0))-D22))</f>
        <v/>
      </c>
      <c r="S22" s="11" t="str">
        <f aca="false">IF(OR($B22="",E22=""),"",MAX(0,INDEX('Nivel requerido'!D$5:D$14,MATCH($B22,'Nivel requerido'!$A$5:$A$14,0))-E22))</f>
        <v/>
      </c>
      <c r="T22" s="11" t="str">
        <f aca="false">IF(OR($B22="",F22=""),"",MAX(0,INDEX('Nivel requerido'!E$5:E$14,MATCH($B22,'Nivel requerido'!$A$5:$A$14,0))-F22))</f>
        <v/>
      </c>
      <c r="U22" s="11" t="str">
        <f aca="false">IF(OR($B22="",G22=""),"",MAX(0,INDEX('Nivel requerido'!F$5:F$14,MATCH($B22,'Nivel requerido'!$A$5:$A$14,0))-G22))</f>
        <v/>
      </c>
      <c r="V22" s="11" t="str">
        <f aca="false">IF(OR($B22="",H22=""),"",MAX(0,INDEX('Nivel requerido'!G$5:G$14,MATCH($B22,'Nivel requerido'!$A$5:$A$14,0))-H22))</f>
        <v/>
      </c>
      <c r="W22" s="11" t="str">
        <f aca="false">IF(OR($B22="",I22=""),"",MAX(0,INDEX('Nivel requerido'!H$5:H$14,MATCH($B22,'Nivel requerido'!$A$5:$A$14,0))-I22))</f>
        <v/>
      </c>
      <c r="X22" s="11" t="str">
        <f aca="false">IF(OR($B22="",J22=""),"",MAX(0,INDEX('Nivel requerido'!I$5:I$14,MATCH($B22,'Nivel requerido'!$A$5:$A$14,0))-J22))</f>
        <v/>
      </c>
      <c r="Y22" s="11" t="str">
        <f aca="false">IF(OR($B22="",K22=""),"",MAX(0,INDEX('Nivel requerido'!J$5:J$14,MATCH($B22,'Nivel requerido'!$A$5:$A$14,0))-K22))</f>
        <v/>
      </c>
      <c r="Z22" s="11" t="str">
        <f aca="false">IF(OR($B22="",L22=""),"",MAX(0,INDEX('Nivel requerido'!K$5:K$14,MATCH($B22,'Nivel requerido'!$A$5:$A$14,0))-L22))</f>
        <v/>
      </c>
      <c r="AA22" s="11" t="str">
        <f aca="false">IF(OR($B22="",M22=""),"",MAX(0,INDEX('Nivel requerido'!L$5:L$14,MATCH($B22,'Nivel requerido'!$A$5:$A$14,0))-M22))</f>
        <v/>
      </c>
      <c r="AB22" s="11" t="str">
        <f aca="false">IF(OR($B22="",N22=""),"",MAX(0,INDEX('Nivel requerido'!M$5:M$14,MATCH($B22,'Nivel requerido'!$A$5:$A$14,0))-N22))</f>
        <v/>
      </c>
      <c r="AC22" s="11" t="str">
        <f aca="false">IF(OR($B22="",O22=""),"",MAX(0,INDEX('Nivel requerido'!N$5:N$14,MATCH($B22,'Nivel requerido'!$A$5:$A$14,0))-O22))</f>
        <v/>
      </c>
      <c r="AD22" s="11" t="str">
        <f aca="false">IF(OR($B22="",P22=""),"",MAX(0,INDEX('Nivel requerido'!O$5:O$14,MATCH($B22,'Nivel requerido'!$A$5:$A$14,0))-P22))</f>
        <v/>
      </c>
      <c r="AE22" s="12" t="str">
        <f aca="false">IF($B22="","",SUM(Q22:AD22))</f>
        <v/>
      </c>
      <c r="AF22" s="7" t="str">
        <f aca="false">IF(OR($B22="",AE22=0),"",INDEX('Nivel requerido'!$B$4:$O$4,MATCH(MAX(Q22:AD22),Q22:AD22,0)))</f>
        <v/>
      </c>
    </row>
    <row r="23" customFormat="false" ht="15" hidden="false" customHeight="false" outlineLevel="0" collapsed="false">
      <c r="A23" s="6"/>
      <c r="B23" s="6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 t="str">
        <f aca="false">IF(OR($B23="",C23=""),"",MAX(0,INDEX('Nivel requerido'!B$5:B$14,MATCH($B23,'Nivel requerido'!$A$5:$A$14,0))-C23))</f>
        <v/>
      </c>
      <c r="R23" s="11" t="str">
        <f aca="false">IF(OR($B23="",D23=""),"",MAX(0,INDEX('Nivel requerido'!C$5:C$14,MATCH($B23,'Nivel requerido'!$A$5:$A$14,0))-D23))</f>
        <v/>
      </c>
      <c r="S23" s="11" t="str">
        <f aca="false">IF(OR($B23="",E23=""),"",MAX(0,INDEX('Nivel requerido'!D$5:D$14,MATCH($B23,'Nivel requerido'!$A$5:$A$14,0))-E23))</f>
        <v/>
      </c>
      <c r="T23" s="11" t="str">
        <f aca="false">IF(OR($B23="",F23=""),"",MAX(0,INDEX('Nivel requerido'!E$5:E$14,MATCH($B23,'Nivel requerido'!$A$5:$A$14,0))-F23))</f>
        <v/>
      </c>
      <c r="U23" s="11" t="str">
        <f aca="false">IF(OR($B23="",G23=""),"",MAX(0,INDEX('Nivel requerido'!F$5:F$14,MATCH($B23,'Nivel requerido'!$A$5:$A$14,0))-G23))</f>
        <v/>
      </c>
      <c r="V23" s="11" t="str">
        <f aca="false">IF(OR($B23="",H23=""),"",MAX(0,INDEX('Nivel requerido'!G$5:G$14,MATCH($B23,'Nivel requerido'!$A$5:$A$14,0))-H23))</f>
        <v/>
      </c>
      <c r="W23" s="11" t="str">
        <f aca="false">IF(OR($B23="",I23=""),"",MAX(0,INDEX('Nivel requerido'!H$5:H$14,MATCH($B23,'Nivel requerido'!$A$5:$A$14,0))-I23))</f>
        <v/>
      </c>
      <c r="X23" s="11" t="str">
        <f aca="false">IF(OR($B23="",J23=""),"",MAX(0,INDEX('Nivel requerido'!I$5:I$14,MATCH($B23,'Nivel requerido'!$A$5:$A$14,0))-J23))</f>
        <v/>
      </c>
      <c r="Y23" s="11" t="str">
        <f aca="false">IF(OR($B23="",K23=""),"",MAX(0,INDEX('Nivel requerido'!J$5:J$14,MATCH($B23,'Nivel requerido'!$A$5:$A$14,0))-K23))</f>
        <v/>
      </c>
      <c r="Z23" s="11" t="str">
        <f aca="false">IF(OR($B23="",L23=""),"",MAX(0,INDEX('Nivel requerido'!K$5:K$14,MATCH($B23,'Nivel requerido'!$A$5:$A$14,0))-L23))</f>
        <v/>
      </c>
      <c r="AA23" s="11" t="str">
        <f aca="false">IF(OR($B23="",M23=""),"",MAX(0,INDEX('Nivel requerido'!L$5:L$14,MATCH($B23,'Nivel requerido'!$A$5:$A$14,0))-M23))</f>
        <v/>
      </c>
      <c r="AB23" s="11" t="str">
        <f aca="false">IF(OR($B23="",N23=""),"",MAX(0,INDEX('Nivel requerido'!M$5:M$14,MATCH($B23,'Nivel requerido'!$A$5:$A$14,0))-N23))</f>
        <v/>
      </c>
      <c r="AC23" s="11" t="str">
        <f aca="false">IF(OR($B23="",O23=""),"",MAX(0,INDEX('Nivel requerido'!N$5:N$14,MATCH($B23,'Nivel requerido'!$A$5:$A$14,0))-O23))</f>
        <v/>
      </c>
      <c r="AD23" s="11" t="str">
        <f aca="false">IF(OR($B23="",P23=""),"",MAX(0,INDEX('Nivel requerido'!O$5:O$14,MATCH($B23,'Nivel requerido'!$A$5:$A$14,0))-P23))</f>
        <v/>
      </c>
      <c r="AE23" s="12" t="str">
        <f aca="false">IF($B23="","",SUM(Q23:AD23))</f>
        <v/>
      </c>
      <c r="AF23" s="7" t="str">
        <f aca="false">IF(OR($B23="",AE23=0),"",INDEX('Nivel requerido'!$B$4:$O$4,MATCH(MAX(Q23:AD23),Q23:AD23,0)))</f>
        <v/>
      </c>
    </row>
    <row r="24" customFormat="false" ht="15" hidden="false" customHeight="false" outlineLevel="0" collapsed="false">
      <c r="A24" s="6"/>
      <c r="B24" s="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 t="str">
        <f aca="false">IF(OR($B24="",C24=""),"",MAX(0,INDEX('Nivel requerido'!B$5:B$14,MATCH($B24,'Nivel requerido'!$A$5:$A$14,0))-C24))</f>
        <v/>
      </c>
      <c r="R24" s="11" t="str">
        <f aca="false">IF(OR($B24="",D24=""),"",MAX(0,INDEX('Nivel requerido'!C$5:C$14,MATCH($B24,'Nivel requerido'!$A$5:$A$14,0))-D24))</f>
        <v/>
      </c>
      <c r="S24" s="11" t="str">
        <f aca="false">IF(OR($B24="",E24=""),"",MAX(0,INDEX('Nivel requerido'!D$5:D$14,MATCH($B24,'Nivel requerido'!$A$5:$A$14,0))-E24))</f>
        <v/>
      </c>
      <c r="T24" s="11" t="str">
        <f aca="false">IF(OR($B24="",F24=""),"",MAX(0,INDEX('Nivel requerido'!E$5:E$14,MATCH($B24,'Nivel requerido'!$A$5:$A$14,0))-F24))</f>
        <v/>
      </c>
      <c r="U24" s="11" t="str">
        <f aca="false">IF(OR($B24="",G24=""),"",MAX(0,INDEX('Nivel requerido'!F$5:F$14,MATCH($B24,'Nivel requerido'!$A$5:$A$14,0))-G24))</f>
        <v/>
      </c>
      <c r="V24" s="11" t="str">
        <f aca="false">IF(OR($B24="",H24=""),"",MAX(0,INDEX('Nivel requerido'!G$5:G$14,MATCH($B24,'Nivel requerido'!$A$5:$A$14,0))-H24))</f>
        <v/>
      </c>
      <c r="W24" s="11" t="str">
        <f aca="false">IF(OR($B24="",I24=""),"",MAX(0,INDEX('Nivel requerido'!H$5:H$14,MATCH($B24,'Nivel requerido'!$A$5:$A$14,0))-I24))</f>
        <v/>
      </c>
      <c r="X24" s="11" t="str">
        <f aca="false">IF(OR($B24="",J24=""),"",MAX(0,INDEX('Nivel requerido'!I$5:I$14,MATCH($B24,'Nivel requerido'!$A$5:$A$14,0))-J24))</f>
        <v/>
      </c>
      <c r="Y24" s="11" t="str">
        <f aca="false">IF(OR($B24="",K24=""),"",MAX(0,INDEX('Nivel requerido'!J$5:J$14,MATCH($B24,'Nivel requerido'!$A$5:$A$14,0))-K24))</f>
        <v/>
      </c>
      <c r="Z24" s="11" t="str">
        <f aca="false">IF(OR($B24="",L24=""),"",MAX(0,INDEX('Nivel requerido'!K$5:K$14,MATCH($B24,'Nivel requerido'!$A$5:$A$14,0))-L24))</f>
        <v/>
      </c>
      <c r="AA24" s="11" t="str">
        <f aca="false">IF(OR($B24="",M24=""),"",MAX(0,INDEX('Nivel requerido'!L$5:L$14,MATCH($B24,'Nivel requerido'!$A$5:$A$14,0))-M24))</f>
        <v/>
      </c>
      <c r="AB24" s="11" t="str">
        <f aca="false">IF(OR($B24="",N24=""),"",MAX(0,INDEX('Nivel requerido'!M$5:M$14,MATCH($B24,'Nivel requerido'!$A$5:$A$14,0))-N24))</f>
        <v/>
      </c>
      <c r="AC24" s="11" t="str">
        <f aca="false">IF(OR($B24="",O24=""),"",MAX(0,INDEX('Nivel requerido'!N$5:N$14,MATCH($B24,'Nivel requerido'!$A$5:$A$14,0))-O24))</f>
        <v/>
      </c>
      <c r="AD24" s="11" t="str">
        <f aca="false">IF(OR($B24="",P24=""),"",MAX(0,INDEX('Nivel requerido'!O$5:O$14,MATCH($B24,'Nivel requerido'!$A$5:$A$14,0))-P24))</f>
        <v/>
      </c>
      <c r="AE24" s="12" t="str">
        <f aca="false">IF($B24="","",SUM(Q24:AD24))</f>
        <v/>
      </c>
      <c r="AF24" s="7" t="str">
        <f aca="false">IF(OR($B24="",AE24=0),"",INDEX('Nivel requerido'!$B$4:$O$4,MATCH(MAX(Q24:AD24),Q24:AD24,0)))</f>
        <v/>
      </c>
    </row>
    <row r="25" customFormat="false" ht="15" hidden="false" customHeight="false" outlineLevel="0" collapsed="false">
      <c r="A25" s="6"/>
      <c r="B25" s="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 t="str">
        <f aca="false">IF(OR($B25="",C25=""),"",MAX(0,INDEX('Nivel requerido'!B$5:B$14,MATCH($B25,'Nivel requerido'!$A$5:$A$14,0))-C25))</f>
        <v/>
      </c>
      <c r="R25" s="11" t="str">
        <f aca="false">IF(OR($B25="",D25=""),"",MAX(0,INDEX('Nivel requerido'!C$5:C$14,MATCH($B25,'Nivel requerido'!$A$5:$A$14,0))-D25))</f>
        <v/>
      </c>
      <c r="S25" s="11" t="str">
        <f aca="false">IF(OR($B25="",E25=""),"",MAX(0,INDEX('Nivel requerido'!D$5:D$14,MATCH($B25,'Nivel requerido'!$A$5:$A$14,0))-E25))</f>
        <v/>
      </c>
      <c r="T25" s="11" t="str">
        <f aca="false">IF(OR($B25="",F25=""),"",MAX(0,INDEX('Nivel requerido'!E$5:E$14,MATCH($B25,'Nivel requerido'!$A$5:$A$14,0))-F25))</f>
        <v/>
      </c>
      <c r="U25" s="11" t="str">
        <f aca="false">IF(OR($B25="",G25=""),"",MAX(0,INDEX('Nivel requerido'!F$5:F$14,MATCH($B25,'Nivel requerido'!$A$5:$A$14,0))-G25))</f>
        <v/>
      </c>
      <c r="V25" s="11" t="str">
        <f aca="false">IF(OR($B25="",H25=""),"",MAX(0,INDEX('Nivel requerido'!G$5:G$14,MATCH($B25,'Nivel requerido'!$A$5:$A$14,0))-H25))</f>
        <v/>
      </c>
      <c r="W25" s="11" t="str">
        <f aca="false">IF(OR($B25="",I25=""),"",MAX(0,INDEX('Nivel requerido'!H$5:H$14,MATCH($B25,'Nivel requerido'!$A$5:$A$14,0))-I25))</f>
        <v/>
      </c>
      <c r="X25" s="11" t="str">
        <f aca="false">IF(OR($B25="",J25=""),"",MAX(0,INDEX('Nivel requerido'!I$5:I$14,MATCH($B25,'Nivel requerido'!$A$5:$A$14,0))-J25))</f>
        <v/>
      </c>
      <c r="Y25" s="11" t="str">
        <f aca="false">IF(OR($B25="",K25=""),"",MAX(0,INDEX('Nivel requerido'!J$5:J$14,MATCH($B25,'Nivel requerido'!$A$5:$A$14,0))-K25))</f>
        <v/>
      </c>
      <c r="Z25" s="11" t="str">
        <f aca="false">IF(OR($B25="",L25=""),"",MAX(0,INDEX('Nivel requerido'!K$5:K$14,MATCH($B25,'Nivel requerido'!$A$5:$A$14,0))-L25))</f>
        <v/>
      </c>
      <c r="AA25" s="11" t="str">
        <f aca="false">IF(OR($B25="",M25=""),"",MAX(0,INDEX('Nivel requerido'!L$5:L$14,MATCH($B25,'Nivel requerido'!$A$5:$A$14,0))-M25))</f>
        <v/>
      </c>
      <c r="AB25" s="11" t="str">
        <f aca="false">IF(OR($B25="",N25=""),"",MAX(0,INDEX('Nivel requerido'!M$5:M$14,MATCH($B25,'Nivel requerido'!$A$5:$A$14,0))-N25))</f>
        <v/>
      </c>
      <c r="AC25" s="11" t="str">
        <f aca="false">IF(OR($B25="",O25=""),"",MAX(0,INDEX('Nivel requerido'!N$5:N$14,MATCH($B25,'Nivel requerido'!$A$5:$A$14,0))-O25))</f>
        <v/>
      </c>
      <c r="AD25" s="11" t="str">
        <f aca="false">IF(OR($B25="",P25=""),"",MAX(0,INDEX('Nivel requerido'!O$5:O$14,MATCH($B25,'Nivel requerido'!$A$5:$A$14,0))-P25))</f>
        <v/>
      </c>
      <c r="AE25" s="12" t="str">
        <f aca="false">IF($B25="","",SUM(Q25:AD25))</f>
        <v/>
      </c>
      <c r="AF25" s="7" t="str">
        <f aca="false">IF(OR($B25="",AE25=0),"",INDEX('Nivel requerido'!$B$4:$O$4,MATCH(MAX(Q25:AD25),Q25:AD25,0)))</f>
        <v/>
      </c>
    </row>
    <row r="26" customFormat="false" ht="15" hidden="false" customHeight="false" outlineLevel="0" collapsed="false">
      <c r="A26" s="6"/>
      <c r="B26" s="6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 t="str">
        <f aca="false">IF(OR($B26="",C26=""),"",MAX(0,INDEX('Nivel requerido'!B$5:B$14,MATCH($B26,'Nivel requerido'!$A$5:$A$14,0))-C26))</f>
        <v/>
      </c>
      <c r="R26" s="11" t="str">
        <f aca="false">IF(OR($B26="",D26=""),"",MAX(0,INDEX('Nivel requerido'!C$5:C$14,MATCH($B26,'Nivel requerido'!$A$5:$A$14,0))-D26))</f>
        <v/>
      </c>
      <c r="S26" s="11" t="str">
        <f aca="false">IF(OR($B26="",E26=""),"",MAX(0,INDEX('Nivel requerido'!D$5:D$14,MATCH($B26,'Nivel requerido'!$A$5:$A$14,0))-E26))</f>
        <v/>
      </c>
      <c r="T26" s="11" t="str">
        <f aca="false">IF(OR($B26="",F26=""),"",MAX(0,INDEX('Nivel requerido'!E$5:E$14,MATCH($B26,'Nivel requerido'!$A$5:$A$14,0))-F26))</f>
        <v/>
      </c>
      <c r="U26" s="11" t="str">
        <f aca="false">IF(OR($B26="",G26=""),"",MAX(0,INDEX('Nivel requerido'!F$5:F$14,MATCH($B26,'Nivel requerido'!$A$5:$A$14,0))-G26))</f>
        <v/>
      </c>
      <c r="V26" s="11" t="str">
        <f aca="false">IF(OR($B26="",H26=""),"",MAX(0,INDEX('Nivel requerido'!G$5:G$14,MATCH($B26,'Nivel requerido'!$A$5:$A$14,0))-H26))</f>
        <v/>
      </c>
      <c r="W26" s="11" t="str">
        <f aca="false">IF(OR($B26="",I26=""),"",MAX(0,INDEX('Nivel requerido'!H$5:H$14,MATCH($B26,'Nivel requerido'!$A$5:$A$14,0))-I26))</f>
        <v/>
      </c>
      <c r="X26" s="11" t="str">
        <f aca="false">IF(OR($B26="",J26=""),"",MAX(0,INDEX('Nivel requerido'!I$5:I$14,MATCH($B26,'Nivel requerido'!$A$5:$A$14,0))-J26))</f>
        <v/>
      </c>
      <c r="Y26" s="11" t="str">
        <f aca="false">IF(OR($B26="",K26=""),"",MAX(0,INDEX('Nivel requerido'!J$5:J$14,MATCH($B26,'Nivel requerido'!$A$5:$A$14,0))-K26))</f>
        <v/>
      </c>
      <c r="Z26" s="11" t="str">
        <f aca="false">IF(OR($B26="",L26=""),"",MAX(0,INDEX('Nivel requerido'!K$5:K$14,MATCH($B26,'Nivel requerido'!$A$5:$A$14,0))-L26))</f>
        <v/>
      </c>
      <c r="AA26" s="11" t="str">
        <f aca="false">IF(OR($B26="",M26=""),"",MAX(0,INDEX('Nivel requerido'!L$5:L$14,MATCH($B26,'Nivel requerido'!$A$5:$A$14,0))-M26))</f>
        <v/>
      </c>
      <c r="AB26" s="11" t="str">
        <f aca="false">IF(OR($B26="",N26=""),"",MAX(0,INDEX('Nivel requerido'!M$5:M$14,MATCH($B26,'Nivel requerido'!$A$5:$A$14,0))-N26))</f>
        <v/>
      </c>
      <c r="AC26" s="11" t="str">
        <f aca="false">IF(OR($B26="",O26=""),"",MAX(0,INDEX('Nivel requerido'!N$5:N$14,MATCH($B26,'Nivel requerido'!$A$5:$A$14,0))-O26))</f>
        <v/>
      </c>
      <c r="AD26" s="11" t="str">
        <f aca="false">IF(OR($B26="",P26=""),"",MAX(0,INDEX('Nivel requerido'!O$5:O$14,MATCH($B26,'Nivel requerido'!$A$5:$A$14,0))-P26))</f>
        <v/>
      </c>
      <c r="AE26" s="12" t="str">
        <f aca="false">IF($B26="","",SUM(Q26:AD26))</f>
        <v/>
      </c>
      <c r="AF26" s="7" t="str">
        <f aca="false">IF(OR($B26="",AE26=0),"",INDEX('Nivel requerido'!$B$4:$O$4,MATCH(MAX(Q26:AD26),Q26:AD26,0)))</f>
        <v/>
      </c>
    </row>
    <row r="27" customFormat="false" ht="15" hidden="false" customHeight="false" outlineLevel="0" collapsed="false">
      <c r="A27" s="6"/>
      <c r="B27" s="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 t="str">
        <f aca="false">IF(OR($B27="",C27=""),"",MAX(0,INDEX('Nivel requerido'!B$5:B$14,MATCH($B27,'Nivel requerido'!$A$5:$A$14,0))-C27))</f>
        <v/>
      </c>
      <c r="R27" s="11" t="str">
        <f aca="false">IF(OR($B27="",D27=""),"",MAX(0,INDEX('Nivel requerido'!C$5:C$14,MATCH($B27,'Nivel requerido'!$A$5:$A$14,0))-D27))</f>
        <v/>
      </c>
      <c r="S27" s="11" t="str">
        <f aca="false">IF(OR($B27="",E27=""),"",MAX(0,INDEX('Nivel requerido'!D$5:D$14,MATCH($B27,'Nivel requerido'!$A$5:$A$14,0))-E27))</f>
        <v/>
      </c>
      <c r="T27" s="11" t="str">
        <f aca="false">IF(OR($B27="",F27=""),"",MAX(0,INDEX('Nivel requerido'!E$5:E$14,MATCH($B27,'Nivel requerido'!$A$5:$A$14,0))-F27))</f>
        <v/>
      </c>
      <c r="U27" s="11" t="str">
        <f aca="false">IF(OR($B27="",G27=""),"",MAX(0,INDEX('Nivel requerido'!F$5:F$14,MATCH($B27,'Nivel requerido'!$A$5:$A$14,0))-G27))</f>
        <v/>
      </c>
      <c r="V27" s="11" t="str">
        <f aca="false">IF(OR($B27="",H27=""),"",MAX(0,INDEX('Nivel requerido'!G$5:G$14,MATCH($B27,'Nivel requerido'!$A$5:$A$14,0))-H27))</f>
        <v/>
      </c>
      <c r="W27" s="11" t="str">
        <f aca="false">IF(OR($B27="",I27=""),"",MAX(0,INDEX('Nivel requerido'!H$5:H$14,MATCH($B27,'Nivel requerido'!$A$5:$A$14,0))-I27))</f>
        <v/>
      </c>
      <c r="X27" s="11" t="str">
        <f aca="false">IF(OR($B27="",J27=""),"",MAX(0,INDEX('Nivel requerido'!I$5:I$14,MATCH($B27,'Nivel requerido'!$A$5:$A$14,0))-J27))</f>
        <v/>
      </c>
      <c r="Y27" s="11" t="str">
        <f aca="false">IF(OR($B27="",K27=""),"",MAX(0,INDEX('Nivel requerido'!J$5:J$14,MATCH($B27,'Nivel requerido'!$A$5:$A$14,0))-K27))</f>
        <v/>
      </c>
      <c r="Z27" s="11" t="str">
        <f aca="false">IF(OR($B27="",L27=""),"",MAX(0,INDEX('Nivel requerido'!K$5:K$14,MATCH($B27,'Nivel requerido'!$A$5:$A$14,0))-L27))</f>
        <v/>
      </c>
      <c r="AA27" s="11" t="str">
        <f aca="false">IF(OR($B27="",M27=""),"",MAX(0,INDEX('Nivel requerido'!L$5:L$14,MATCH($B27,'Nivel requerido'!$A$5:$A$14,0))-M27))</f>
        <v/>
      </c>
      <c r="AB27" s="11" t="str">
        <f aca="false">IF(OR($B27="",N27=""),"",MAX(0,INDEX('Nivel requerido'!M$5:M$14,MATCH($B27,'Nivel requerido'!$A$5:$A$14,0))-N27))</f>
        <v/>
      </c>
      <c r="AC27" s="11" t="str">
        <f aca="false">IF(OR($B27="",O27=""),"",MAX(0,INDEX('Nivel requerido'!N$5:N$14,MATCH($B27,'Nivel requerido'!$A$5:$A$14,0))-O27))</f>
        <v/>
      </c>
      <c r="AD27" s="11" t="str">
        <f aca="false">IF(OR($B27="",P27=""),"",MAX(0,INDEX('Nivel requerido'!O$5:O$14,MATCH($B27,'Nivel requerido'!$A$5:$A$14,0))-P27))</f>
        <v/>
      </c>
      <c r="AE27" s="12" t="str">
        <f aca="false">IF($B27="","",SUM(Q27:AD27))</f>
        <v/>
      </c>
      <c r="AF27" s="7" t="str">
        <f aca="false">IF(OR($B27="",AE27=0),"",INDEX('Nivel requerido'!$B$4:$O$4,MATCH(MAX(Q27:AD27),Q27:AD27,0)))</f>
        <v/>
      </c>
    </row>
    <row r="28" customFormat="false" ht="15" hidden="false" customHeight="false" outlineLevel="0" collapsed="false">
      <c r="A28" s="6"/>
      <c r="B28" s="6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 t="str">
        <f aca="false">IF(OR($B28="",C28=""),"",MAX(0,INDEX('Nivel requerido'!B$5:B$14,MATCH($B28,'Nivel requerido'!$A$5:$A$14,0))-C28))</f>
        <v/>
      </c>
      <c r="R28" s="11" t="str">
        <f aca="false">IF(OR($B28="",D28=""),"",MAX(0,INDEX('Nivel requerido'!C$5:C$14,MATCH($B28,'Nivel requerido'!$A$5:$A$14,0))-D28))</f>
        <v/>
      </c>
      <c r="S28" s="11" t="str">
        <f aca="false">IF(OR($B28="",E28=""),"",MAX(0,INDEX('Nivel requerido'!D$5:D$14,MATCH($B28,'Nivel requerido'!$A$5:$A$14,0))-E28))</f>
        <v/>
      </c>
      <c r="T28" s="11" t="str">
        <f aca="false">IF(OR($B28="",F28=""),"",MAX(0,INDEX('Nivel requerido'!E$5:E$14,MATCH($B28,'Nivel requerido'!$A$5:$A$14,0))-F28))</f>
        <v/>
      </c>
      <c r="U28" s="11" t="str">
        <f aca="false">IF(OR($B28="",G28=""),"",MAX(0,INDEX('Nivel requerido'!F$5:F$14,MATCH($B28,'Nivel requerido'!$A$5:$A$14,0))-G28))</f>
        <v/>
      </c>
      <c r="V28" s="11" t="str">
        <f aca="false">IF(OR($B28="",H28=""),"",MAX(0,INDEX('Nivel requerido'!G$5:G$14,MATCH($B28,'Nivel requerido'!$A$5:$A$14,0))-H28))</f>
        <v/>
      </c>
      <c r="W28" s="11" t="str">
        <f aca="false">IF(OR($B28="",I28=""),"",MAX(0,INDEX('Nivel requerido'!H$5:H$14,MATCH($B28,'Nivel requerido'!$A$5:$A$14,0))-I28))</f>
        <v/>
      </c>
      <c r="X28" s="11" t="str">
        <f aca="false">IF(OR($B28="",J28=""),"",MAX(0,INDEX('Nivel requerido'!I$5:I$14,MATCH($B28,'Nivel requerido'!$A$5:$A$14,0))-J28))</f>
        <v/>
      </c>
      <c r="Y28" s="11" t="str">
        <f aca="false">IF(OR($B28="",K28=""),"",MAX(0,INDEX('Nivel requerido'!J$5:J$14,MATCH($B28,'Nivel requerido'!$A$5:$A$14,0))-K28))</f>
        <v/>
      </c>
      <c r="Z28" s="11" t="str">
        <f aca="false">IF(OR($B28="",L28=""),"",MAX(0,INDEX('Nivel requerido'!K$5:K$14,MATCH($B28,'Nivel requerido'!$A$5:$A$14,0))-L28))</f>
        <v/>
      </c>
      <c r="AA28" s="11" t="str">
        <f aca="false">IF(OR($B28="",M28=""),"",MAX(0,INDEX('Nivel requerido'!L$5:L$14,MATCH($B28,'Nivel requerido'!$A$5:$A$14,0))-M28))</f>
        <v/>
      </c>
      <c r="AB28" s="11" t="str">
        <f aca="false">IF(OR($B28="",N28=""),"",MAX(0,INDEX('Nivel requerido'!M$5:M$14,MATCH($B28,'Nivel requerido'!$A$5:$A$14,0))-N28))</f>
        <v/>
      </c>
      <c r="AC28" s="11" t="str">
        <f aca="false">IF(OR($B28="",O28=""),"",MAX(0,INDEX('Nivel requerido'!N$5:N$14,MATCH($B28,'Nivel requerido'!$A$5:$A$14,0))-O28))</f>
        <v/>
      </c>
      <c r="AD28" s="11" t="str">
        <f aca="false">IF(OR($B28="",P28=""),"",MAX(0,INDEX('Nivel requerido'!O$5:O$14,MATCH($B28,'Nivel requerido'!$A$5:$A$14,0))-P28))</f>
        <v/>
      </c>
      <c r="AE28" s="12" t="str">
        <f aca="false">IF($B28="","",SUM(Q28:AD28))</f>
        <v/>
      </c>
      <c r="AF28" s="7" t="str">
        <f aca="false">IF(OR($B28="",AE28=0),"",INDEX('Nivel requerido'!$B$4:$O$4,MATCH(MAX(Q28:AD28),Q28:AD28,0)))</f>
        <v/>
      </c>
    </row>
    <row r="29" customFormat="false" ht="15" hidden="false" customHeight="false" outlineLevel="0" collapsed="false">
      <c r="A29" s="6"/>
      <c r="B29" s="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 t="str">
        <f aca="false">IF(OR($B29="",C29=""),"",MAX(0,INDEX('Nivel requerido'!B$5:B$14,MATCH($B29,'Nivel requerido'!$A$5:$A$14,0))-C29))</f>
        <v/>
      </c>
      <c r="R29" s="11" t="str">
        <f aca="false">IF(OR($B29="",D29=""),"",MAX(0,INDEX('Nivel requerido'!C$5:C$14,MATCH($B29,'Nivel requerido'!$A$5:$A$14,0))-D29))</f>
        <v/>
      </c>
      <c r="S29" s="11" t="str">
        <f aca="false">IF(OR($B29="",E29=""),"",MAX(0,INDEX('Nivel requerido'!D$5:D$14,MATCH($B29,'Nivel requerido'!$A$5:$A$14,0))-E29))</f>
        <v/>
      </c>
      <c r="T29" s="11" t="str">
        <f aca="false">IF(OR($B29="",F29=""),"",MAX(0,INDEX('Nivel requerido'!E$5:E$14,MATCH($B29,'Nivel requerido'!$A$5:$A$14,0))-F29))</f>
        <v/>
      </c>
      <c r="U29" s="11" t="str">
        <f aca="false">IF(OR($B29="",G29=""),"",MAX(0,INDEX('Nivel requerido'!F$5:F$14,MATCH($B29,'Nivel requerido'!$A$5:$A$14,0))-G29))</f>
        <v/>
      </c>
      <c r="V29" s="11" t="str">
        <f aca="false">IF(OR($B29="",H29=""),"",MAX(0,INDEX('Nivel requerido'!G$5:G$14,MATCH($B29,'Nivel requerido'!$A$5:$A$14,0))-H29))</f>
        <v/>
      </c>
      <c r="W29" s="11" t="str">
        <f aca="false">IF(OR($B29="",I29=""),"",MAX(0,INDEX('Nivel requerido'!H$5:H$14,MATCH($B29,'Nivel requerido'!$A$5:$A$14,0))-I29))</f>
        <v/>
      </c>
      <c r="X29" s="11" t="str">
        <f aca="false">IF(OR($B29="",J29=""),"",MAX(0,INDEX('Nivel requerido'!I$5:I$14,MATCH($B29,'Nivel requerido'!$A$5:$A$14,0))-J29))</f>
        <v/>
      </c>
      <c r="Y29" s="11" t="str">
        <f aca="false">IF(OR($B29="",K29=""),"",MAX(0,INDEX('Nivel requerido'!J$5:J$14,MATCH($B29,'Nivel requerido'!$A$5:$A$14,0))-K29))</f>
        <v/>
      </c>
      <c r="Z29" s="11" t="str">
        <f aca="false">IF(OR($B29="",L29=""),"",MAX(0,INDEX('Nivel requerido'!K$5:K$14,MATCH($B29,'Nivel requerido'!$A$5:$A$14,0))-L29))</f>
        <v/>
      </c>
      <c r="AA29" s="11" t="str">
        <f aca="false">IF(OR($B29="",M29=""),"",MAX(0,INDEX('Nivel requerido'!L$5:L$14,MATCH($B29,'Nivel requerido'!$A$5:$A$14,0))-M29))</f>
        <v/>
      </c>
      <c r="AB29" s="11" t="str">
        <f aca="false">IF(OR($B29="",N29=""),"",MAX(0,INDEX('Nivel requerido'!M$5:M$14,MATCH($B29,'Nivel requerido'!$A$5:$A$14,0))-N29))</f>
        <v/>
      </c>
      <c r="AC29" s="11" t="str">
        <f aca="false">IF(OR($B29="",O29=""),"",MAX(0,INDEX('Nivel requerido'!N$5:N$14,MATCH($B29,'Nivel requerido'!$A$5:$A$14,0))-O29))</f>
        <v/>
      </c>
      <c r="AD29" s="11" t="str">
        <f aca="false">IF(OR($B29="",P29=""),"",MAX(0,INDEX('Nivel requerido'!O$5:O$14,MATCH($B29,'Nivel requerido'!$A$5:$A$14,0))-P29))</f>
        <v/>
      </c>
      <c r="AE29" s="12" t="str">
        <f aca="false">IF($B29="","",SUM(Q29:AD29))</f>
        <v/>
      </c>
      <c r="AF29" s="7" t="str">
        <f aca="false">IF(OR($B29="",AE29=0),"",INDEX('Nivel requerido'!$B$4:$O$4,MATCH(MAX(Q29:AD29),Q29:AD29,0)))</f>
        <v/>
      </c>
    </row>
    <row r="30" customFormat="false" ht="15" hidden="false" customHeight="false" outlineLevel="0" collapsed="false">
      <c r="A30" s="6"/>
      <c r="B30" s="6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 t="str">
        <f aca="false">IF(OR($B30="",C30=""),"",MAX(0,INDEX('Nivel requerido'!B$5:B$14,MATCH($B30,'Nivel requerido'!$A$5:$A$14,0))-C30))</f>
        <v/>
      </c>
      <c r="R30" s="11" t="str">
        <f aca="false">IF(OR($B30="",D30=""),"",MAX(0,INDEX('Nivel requerido'!C$5:C$14,MATCH($B30,'Nivel requerido'!$A$5:$A$14,0))-D30))</f>
        <v/>
      </c>
      <c r="S30" s="11" t="str">
        <f aca="false">IF(OR($B30="",E30=""),"",MAX(0,INDEX('Nivel requerido'!D$5:D$14,MATCH($B30,'Nivel requerido'!$A$5:$A$14,0))-E30))</f>
        <v/>
      </c>
      <c r="T30" s="11" t="str">
        <f aca="false">IF(OR($B30="",F30=""),"",MAX(0,INDEX('Nivel requerido'!E$5:E$14,MATCH($B30,'Nivel requerido'!$A$5:$A$14,0))-F30))</f>
        <v/>
      </c>
      <c r="U30" s="11" t="str">
        <f aca="false">IF(OR($B30="",G30=""),"",MAX(0,INDEX('Nivel requerido'!F$5:F$14,MATCH($B30,'Nivel requerido'!$A$5:$A$14,0))-G30))</f>
        <v/>
      </c>
      <c r="V30" s="11" t="str">
        <f aca="false">IF(OR($B30="",H30=""),"",MAX(0,INDEX('Nivel requerido'!G$5:G$14,MATCH($B30,'Nivel requerido'!$A$5:$A$14,0))-H30))</f>
        <v/>
      </c>
      <c r="W30" s="11" t="str">
        <f aca="false">IF(OR($B30="",I30=""),"",MAX(0,INDEX('Nivel requerido'!H$5:H$14,MATCH($B30,'Nivel requerido'!$A$5:$A$14,0))-I30))</f>
        <v/>
      </c>
      <c r="X30" s="11" t="str">
        <f aca="false">IF(OR($B30="",J30=""),"",MAX(0,INDEX('Nivel requerido'!I$5:I$14,MATCH($B30,'Nivel requerido'!$A$5:$A$14,0))-J30))</f>
        <v/>
      </c>
      <c r="Y30" s="11" t="str">
        <f aca="false">IF(OR($B30="",K30=""),"",MAX(0,INDEX('Nivel requerido'!J$5:J$14,MATCH($B30,'Nivel requerido'!$A$5:$A$14,0))-K30))</f>
        <v/>
      </c>
      <c r="Z30" s="11" t="str">
        <f aca="false">IF(OR($B30="",L30=""),"",MAX(0,INDEX('Nivel requerido'!K$5:K$14,MATCH($B30,'Nivel requerido'!$A$5:$A$14,0))-L30))</f>
        <v/>
      </c>
      <c r="AA30" s="11" t="str">
        <f aca="false">IF(OR($B30="",M30=""),"",MAX(0,INDEX('Nivel requerido'!L$5:L$14,MATCH($B30,'Nivel requerido'!$A$5:$A$14,0))-M30))</f>
        <v/>
      </c>
      <c r="AB30" s="11" t="str">
        <f aca="false">IF(OR($B30="",N30=""),"",MAX(0,INDEX('Nivel requerido'!M$5:M$14,MATCH($B30,'Nivel requerido'!$A$5:$A$14,0))-N30))</f>
        <v/>
      </c>
      <c r="AC30" s="11" t="str">
        <f aca="false">IF(OR($B30="",O30=""),"",MAX(0,INDEX('Nivel requerido'!N$5:N$14,MATCH($B30,'Nivel requerido'!$A$5:$A$14,0))-O30))</f>
        <v/>
      </c>
      <c r="AD30" s="11" t="str">
        <f aca="false">IF(OR($B30="",P30=""),"",MAX(0,INDEX('Nivel requerido'!O$5:O$14,MATCH($B30,'Nivel requerido'!$A$5:$A$14,0))-P30))</f>
        <v/>
      </c>
      <c r="AE30" s="12" t="str">
        <f aca="false">IF($B30="","",SUM(Q30:AD30))</f>
        <v/>
      </c>
      <c r="AF30" s="7" t="str">
        <f aca="false">IF(OR($B30="",AE30=0),"",INDEX('Nivel requerido'!$B$4:$O$4,MATCH(MAX(Q30:AD30),Q30:AD30,0)))</f>
        <v/>
      </c>
    </row>
    <row r="31" customFormat="false" ht="15" hidden="false" customHeight="false" outlineLevel="0" collapsed="false">
      <c r="A31" s="6"/>
      <c r="B31" s="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 t="str">
        <f aca="false">IF(OR($B31="",C31=""),"",MAX(0,INDEX('Nivel requerido'!B$5:B$14,MATCH($B31,'Nivel requerido'!$A$5:$A$14,0))-C31))</f>
        <v/>
      </c>
      <c r="R31" s="11" t="str">
        <f aca="false">IF(OR($B31="",D31=""),"",MAX(0,INDEX('Nivel requerido'!C$5:C$14,MATCH($B31,'Nivel requerido'!$A$5:$A$14,0))-D31))</f>
        <v/>
      </c>
      <c r="S31" s="11" t="str">
        <f aca="false">IF(OR($B31="",E31=""),"",MAX(0,INDEX('Nivel requerido'!D$5:D$14,MATCH($B31,'Nivel requerido'!$A$5:$A$14,0))-E31))</f>
        <v/>
      </c>
      <c r="T31" s="11" t="str">
        <f aca="false">IF(OR($B31="",F31=""),"",MAX(0,INDEX('Nivel requerido'!E$5:E$14,MATCH($B31,'Nivel requerido'!$A$5:$A$14,0))-F31))</f>
        <v/>
      </c>
      <c r="U31" s="11" t="str">
        <f aca="false">IF(OR($B31="",G31=""),"",MAX(0,INDEX('Nivel requerido'!F$5:F$14,MATCH($B31,'Nivel requerido'!$A$5:$A$14,0))-G31))</f>
        <v/>
      </c>
      <c r="V31" s="11" t="str">
        <f aca="false">IF(OR($B31="",H31=""),"",MAX(0,INDEX('Nivel requerido'!G$5:G$14,MATCH($B31,'Nivel requerido'!$A$5:$A$14,0))-H31))</f>
        <v/>
      </c>
      <c r="W31" s="11" t="str">
        <f aca="false">IF(OR($B31="",I31=""),"",MAX(0,INDEX('Nivel requerido'!H$5:H$14,MATCH($B31,'Nivel requerido'!$A$5:$A$14,0))-I31))</f>
        <v/>
      </c>
      <c r="X31" s="11" t="str">
        <f aca="false">IF(OR($B31="",J31=""),"",MAX(0,INDEX('Nivel requerido'!I$5:I$14,MATCH($B31,'Nivel requerido'!$A$5:$A$14,0))-J31))</f>
        <v/>
      </c>
      <c r="Y31" s="11" t="str">
        <f aca="false">IF(OR($B31="",K31=""),"",MAX(0,INDEX('Nivel requerido'!J$5:J$14,MATCH($B31,'Nivel requerido'!$A$5:$A$14,0))-K31))</f>
        <v/>
      </c>
      <c r="Z31" s="11" t="str">
        <f aca="false">IF(OR($B31="",L31=""),"",MAX(0,INDEX('Nivel requerido'!K$5:K$14,MATCH($B31,'Nivel requerido'!$A$5:$A$14,0))-L31))</f>
        <v/>
      </c>
      <c r="AA31" s="11" t="str">
        <f aca="false">IF(OR($B31="",M31=""),"",MAX(0,INDEX('Nivel requerido'!L$5:L$14,MATCH($B31,'Nivel requerido'!$A$5:$A$14,0))-M31))</f>
        <v/>
      </c>
      <c r="AB31" s="11" t="str">
        <f aca="false">IF(OR($B31="",N31=""),"",MAX(0,INDEX('Nivel requerido'!M$5:M$14,MATCH($B31,'Nivel requerido'!$A$5:$A$14,0))-N31))</f>
        <v/>
      </c>
      <c r="AC31" s="11" t="str">
        <f aca="false">IF(OR($B31="",O31=""),"",MAX(0,INDEX('Nivel requerido'!N$5:N$14,MATCH($B31,'Nivel requerido'!$A$5:$A$14,0))-O31))</f>
        <v/>
      </c>
      <c r="AD31" s="11" t="str">
        <f aca="false">IF(OR($B31="",P31=""),"",MAX(0,INDEX('Nivel requerido'!O$5:O$14,MATCH($B31,'Nivel requerido'!$A$5:$A$14,0))-P31))</f>
        <v/>
      </c>
      <c r="AE31" s="12" t="str">
        <f aca="false">IF($B31="","",SUM(Q31:AD31))</f>
        <v/>
      </c>
      <c r="AF31" s="7" t="str">
        <f aca="false">IF(OR($B31="",AE31=0),"",INDEX('Nivel requerido'!$B$4:$O$4,MATCH(MAX(Q31:AD31),Q31:AD31,0)))</f>
        <v/>
      </c>
    </row>
    <row r="32" customFormat="false" ht="15" hidden="false" customHeight="false" outlineLevel="0" collapsed="false">
      <c r="A32" s="6"/>
      <c r="B32" s="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 t="str">
        <f aca="false">IF(OR($B32="",C32=""),"",MAX(0,INDEX('Nivel requerido'!B$5:B$14,MATCH($B32,'Nivel requerido'!$A$5:$A$14,0))-C32))</f>
        <v/>
      </c>
      <c r="R32" s="11" t="str">
        <f aca="false">IF(OR($B32="",D32=""),"",MAX(0,INDEX('Nivel requerido'!C$5:C$14,MATCH($B32,'Nivel requerido'!$A$5:$A$14,0))-D32))</f>
        <v/>
      </c>
      <c r="S32" s="11" t="str">
        <f aca="false">IF(OR($B32="",E32=""),"",MAX(0,INDEX('Nivel requerido'!D$5:D$14,MATCH($B32,'Nivel requerido'!$A$5:$A$14,0))-E32))</f>
        <v/>
      </c>
      <c r="T32" s="11" t="str">
        <f aca="false">IF(OR($B32="",F32=""),"",MAX(0,INDEX('Nivel requerido'!E$5:E$14,MATCH($B32,'Nivel requerido'!$A$5:$A$14,0))-F32))</f>
        <v/>
      </c>
      <c r="U32" s="11" t="str">
        <f aca="false">IF(OR($B32="",G32=""),"",MAX(0,INDEX('Nivel requerido'!F$5:F$14,MATCH($B32,'Nivel requerido'!$A$5:$A$14,0))-G32))</f>
        <v/>
      </c>
      <c r="V32" s="11" t="str">
        <f aca="false">IF(OR($B32="",H32=""),"",MAX(0,INDEX('Nivel requerido'!G$5:G$14,MATCH($B32,'Nivel requerido'!$A$5:$A$14,0))-H32))</f>
        <v/>
      </c>
      <c r="W32" s="11" t="str">
        <f aca="false">IF(OR($B32="",I32=""),"",MAX(0,INDEX('Nivel requerido'!H$5:H$14,MATCH($B32,'Nivel requerido'!$A$5:$A$14,0))-I32))</f>
        <v/>
      </c>
      <c r="X32" s="11" t="str">
        <f aca="false">IF(OR($B32="",J32=""),"",MAX(0,INDEX('Nivel requerido'!I$5:I$14,MATCH($B32,'Nivel requerido'!$A$5:$A$14,0))-J32))</f>
        <v/>
      </c>
      <c r="Y32" s="11" t="str">
        <f aca="false">IF(OR($B32="",K32=""),"",MAX(0,INDEX('Nivel requerido'!J$5:J$14,MATCH($B32,'Nivel requerido'!$A$5:$A$14,0))-K32))</f>
        <v/>
      </c>
      <c r="Z32" s="11" t="str">
        <f aca="false">IF(OR($B32="",L32=""),"",MAX(0,INDEX('Nivel requerido'!K$5:K$14,MATCH($B32,'Nivel requerido'!$A$5:$A$14,0))-L32))</f>
        <v/>
      </c>
      <c r="AA32" s="11" t="str">
        <f aca="false">IF(OR($B32="",M32=""),"",MAX(0,INDEX('Nivel requerido'!L$5:L$14,MATCH($B32,'Nivel requerido'!$A$5:$A$14,0))-M32))</f>
        <v/>
      </c>
      <c r="AB32" s="11" t="str">
        <f aca="false">IF(OR($B32="",N32=""),"",MAX(0,INDEX('Nivel requerido'!M$5:M$14,MATCH($B32,'Nivel requerido'!$A$5:$A$14,0))-N32))</f>
        <v/>
      </c>
      <c r="AC32" s="11" t="str">
        <f aca="false">IF(OR($B32="",O32=""),"",MAX(0,INDEX('Nivel requerido'!N$5:N$14,MATCH($B32,'Nivel requerido'!$A$5:$A$14,0))-O32))</f>
        <v/>
      </c>
      <c r="AD32" s="11" t="str">
        <f aca="false">IF(OR($B32="",P32=""),"",MAX(0,INDEX('Nivel requerido'!O$5:O$14,MATCH($B32,'Nivel requerido'!$A$5:$A$14,0))-P32))</f>
        <v/>
      </c>
      <c r="AE32" s="12" t="str">
        <f aca="false">IF($B32="","",SUM(Q32:AD32))</f>
        <v/>
      </c>
      <c r="AF32" s="7" t="str">
        <f aca="false">IF(OR($B32="",AE32=0),"",INDEX('Nivel requerido'!$B$4:$O$4,MATCH(MAX(Q32:AD32),Q32:AD32,0)))</f>
        <v/>
      </c>
    </row>
    <row r="33" customFormat="false" ht="15" hidden="false" customHeight="false" outlineLevel="0" collapsed="false">
      <c r="A33" s="6"/>
      <c r="B33" s="6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 t="str">
        <f aca="false">IF(OR($B33="",C33=""),"",MAX(0,INDEX('Nivel requerido'!B$5:B$14,MATCH($B33,'Nivel requerido'!$A$5:$A$14,0))-C33))</f>
        <v/>
      </c>
      <c r="R33" s="11" t="str">
        <f aca="false">IF(OR($B33="",D33=""),"",MAX(0,INDEX('Nivel requerido'!C$5:C$14,MATCH($B33,'Nivel requerido'!$A$5:$A$14,0))-D33))</f>
        <v/>
      </c>
      <c r="S33" s="11" t="str">
        <f aca="false">IF(OR($B33="",E33=""),"",MAX(0,INDEX('Nivel requerido'!D$5:D$14,MATCH($B33,'Nivel requerido'!$A$5:$A$14,0))-E33))</f>
        <v/>
      </c>
      <c r="T33" s="11" t="str">
        <f aca="false">IF(OR($B33="",F33=""),"",MAX(0,INDEX('Nivel requerido'!E$5:E$14,MATCH($B33,'Nivel requerido'!$A$5:$A$14,0))-F33))</f>
        <v/>
      </c>
      <c r="U33" s="11" t="str">
        <f aca="false">IF(OR($B33="",G33=""),"",MAX(0,INDEX('Nivel requerido'!F$5:F$14,MATCH($B33,'Nivel requerido'!$A$5:$A$14,0))-G33))</f>
        <v/>
      </c>
      <c r="V33" s="11" t="str">
        <f aca="false">IF(OR($B33="",H33=""),"",MAX(0,INDEX('Nivel requerido'!G$5:G$14,MATCH($B33,'Nivel requerido'!$A$5:$A$14,0))-H33))</f>
        <v/>
      </c>
      <c r="W33" s="11" t="str">
        <f aca="false">IF(OR($B33="",I33=""),"",MAX(0,INDEX('Nivel requerido'!H$5:H$14,MATCH($B33,'Nivel requerido'!$A$5:$A$14,0))-I33))</f>
        <v/>
      </c>
      <c r="X33" s="11" t="str">
        <f aca="false">IF(OR($B33="",J33=""),"",MAX(0,INDEX('Nivel requerido'!I$5:I$14,MATCH($B33,'Nivel requerido'!$A$5:$A$14,0))-J33))</f>
        <v/>
      </c>
      <c r="Y33" s="11" t="str">
        <f aca="false">IF(OR($B33="",K33=""),"",MAX(0,INDEX('Nivel requerido'!J$5:J$14,MATCH($B33,'Nivel requerido'!$A$5:$A$14,0))-K33))</f>
        <v/>
      </c>
      <c r="Z33" s="11" t="str">
        <f aca="false">IF(OR($B33="",L33=""),"",MAX(0,INDEX('Nivel requerido'!K$5:K$14,MATCH($B33,'Nivel requerido'!$A$5:$A$14,0))-L33))</f>
        <v/>
      </c>
      <c r="AA33" s="11" t="str">
        <f aca="false">IF(OR($B33="",M33=""),"",MAX(0,INDEX('Nivel requerido'!L$5:L$14,MATCH($B33,'Nivel requerido'!$A$5:$A$14,0))-M33))</f>
        <v/>
      </c>
      <c r="AB33" s="11" t="str">
        <f aca="false">IF(OR($B33="",N33=""),"",MAX(0,INDEX('Nivel requerido'!M$5:M$14,MATCH($B33,'Nivel requerido'!$A$5:$A$14,0))-N33))</f>
        <v/>
      </c>
      <c r="AC33" s="11" t="str">
        <f aca="false">IF(OR($B33="",O33=""),"",MAX(0,INDEX('Nivel requerido'!N$5:N$14,MATCH($B33,'Nivel requerido'!$A$5:$A$14,0))-O33))</f>
        <v/>
      </c>
      <c r="AD33" s="11" t="str">
        <f aca="false">IF(OR($B33="",P33=""),"",MAX(0,INDEX('Nivel requerido'!O$5:O$14,MATCH($B33,'Nivel requerido'!$A$5:$A$14,0))-P33))</f>
        <v/>
      </c>
      <c r="AE33" s="12" t="str">
        <f aca="false">IF($B33="","",SUM(Q33:AD33))</f>
        <v/>
      </c>
      <c r="AF33" s="7" t="str">
        <f aca="false">IF(OR($B33="",AE33=0),"",INDEX('Nivel requerido'!$B$4:$O$4,MATCH(MAX(Q33:AD33),Q33:AD33,0)))</f>
        <v/>
      </c>
    </row>
    <row r="34" customFormat="false" ht="15" hidden="false" customHeight="false" outlineLevel="0" collapsed="false">
      <c r="A34" s="6"/>
      <c r="B34" s="6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 t="str">
        <f aca="false">IF(OR($B34="",C34=""),"",MAX(0,INDEX('Nivel requerido'!B$5:B$14,MATCH($B34,'Nivel requerido'!$A$5:$A$14,0))-C34))</f>
        <v/>
      </c>
      <c r="R34" s="11" t="str">
        <f aca="false">IF(OR($B34="",D34=""),"",MAX(0,INDEX('Nivel requerido'!C$5:C$14,MATCH($B34,'Nivel requerido'!$A$5:$A$14,0))-D34))</f>
        <v/>
      </c>
      <c r="S34" s="11" t="str">
        <f aca="false">IF(OR($B34="",E34=""),"",MAX(0,INDEX('Nivel requerido'!D$5:D$14,MATCH($B34,'Nivel requerido'!$A$5:$A$14,0))-E34))</f>
        <v/>
      </c>
      <c r="T34" s="11" t="str">
        <f aca="false">IF(OR($B34="",F34=""),"",MAX(0,INDEX('Nivel requerido'!E$5:E$14,MATCH($B34,'Nivel requerido'!$A$5:$A$14,0))-F34))</f>
        <v/>
      </c>
      <c r="U34" s="11" t="str">
        <f aca="false">IF(OR($B34="",G34=""),"",MAX(0,INDEX('Nivel requerido'!F$5:F$14,MATCH($B34,'Nivel requerido'!$A$5:$A$14,0))-G34))</f>
        <v/>
      </c>
      <c r="V34" s="11" t="str">
        <f aca="false">IF(OR($B34="",H34=""),"",MAX(0,INDEX('Nivel requerido'!G$5:G$14,MATCH($B34,'Nivel requerido'!$A$5:$A$14,0))-H34))</f>
        <v/>
      </c>
      <c r="W34" s="11" t="str">
        <f aca="false">IF(OR($B34="",I34=""),"",MAX(0,INDEX('Nivel requerido'!H$5:H$14,MATCH($B34,'Nivel requerido'!$A$5:$A$14,0))-I34))</f>
        <v/>
      </c>
      <c r="X34" s="11" t="str">
        <f aca="false">IF(OR($B34="",J34=""),"",MAX(0,INDEX('Nivel requerido'!I$5:I$14,MATCH($B34,'Nivel requerido'!$A$5:$A$14,0))-J34))</f>
        <v/>
      </c>
      <c r="Y34" s="11" t="str">
        <f aca="false">IF(OR($B34="",K34=""),"",MAX(0,INDEX('Nivel requerido'!J$5:J$14,MATCH($B34,'Nivel requerido'!$A$5:$A$14,0))-K34))</f>
        <v/>
      </c>
      <c r="Z34" s="11" t="str">
        <f aca="false">IF(OR($B34="",L34=""),"",MAX(0,INDEX('Nivel requerido'!K$5:K$14,MATCH($B34,'Nivel requerido'!$A$5:$A$14,0))-L34))</f>
        <v/>
      </c>
      <c r="AA34" s="11" t="str">
        <f aca="false">IF(OR($B34="",M34=""),"",MAX(0,INDEX('Nivel requerido'!L$5:L$14,MATCH($B34,'Nivel requerido'!$A$5:$A$14,0))-M34))</f>
        <v/>
      </c>
      <c r="AB34" s="11" t="str">
        <f aca="false">IF(OR($B34="",N34=""),"",MAX(0,INDEX('Nivel requerido'!M$5:M$14,MATCH($B34,'Nivel requerido'!$A$5:$A$14,0))-N34))</f>
        <v/>
      </c>
      <c r="AC34" s="11" t="str">
        <f aca="false">IF(OR($B34="",O34=""),"",MAX(0,INDEX('Nivel requerido'!N$5:N$14,MATCH($B34,'Nivel requerido'!$A$5:$A$14,0))-O34))</f>
        <v/>
      </c>
      <c r="AD34" s="11" t="str">
        <f aca="false">IF(OR($B34="",P34=""),"",MAX(0,INDEX('Nivel requerido'!O$5:O$14,MATCH($B34,'Nivel requerido'!$A$5:$A$14,0))-P34))</f>
        <v/>
      </c>
      <c r="AE34" s="12" t="str">
        <f aca="false">IF($B34="","",SUM(Q34:AD34))</f>
        <v/>
      </c>
      <c r="AF34" s="7" t="str">
        <f aca="false">IF(OR($B34="",AE34=0),"",INDEX('Nivel requerido'!$B$4:$O$4,MATCH(MAX(Q34:AD34),Q34:AD34,0)))</f>
        <v/>
      </c>
    </row>
  </sheetData>
  <conditionalFormatting sqref="Q5:AD34">
    <cfRule type="colorScale" priority="2">
      <colorScale>
        <cfvo type="num" val="0"/>
        <cfvo type="num" val="3"/>
        <color rgb="FFFFFFFF"/>
        <color rgb="FFFF7A1A"/>
      </colorScale>
    </cfRule>
  </conditionalFormatting>
  <dataValidations count="1">
    <dataValidation allowBlank="true" errorStyle="stop" operator="between" showDropDown="false" showErrorMessage="false" showInputMessage="false" sqref="B5:B34" type="list">
      <formula1>"Preparador/a de pedidos,Carretillero/a,Jefe/a de turno,Jefe/a de almacén,Planificador/a de tráfico,Jefe/a de tráfico,Comprador/a,Técnico/a de comercio exterior,Planificador/a de demanda,Director/a de operaciones"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2026-09-25T13:08:57Z</dcterms:created>
  <dc:creator>openpyxl</dc:creator>
  <dc:description/>
  <dc:language>en-US</dc:language>
  <cp:lastModifiedBy/>
  <dcterms:modified xsi:type="dcterms:W3CDTF">2026-09-25T13:08:57Z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
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Inventario herramientas" sheetId="2" state="visible" r:id="rId4"/>
    <sheet name="Registro personas" sheetId="3" state="visible" r:id="rId5"/>
    <sheet name="Resum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<sst xmlns="http://schemas.openxmlformats.org/spreadsheetml/2006/main" count="62" uniqueCount="59">
  <si>
    <t xml:space="preserve">KIT-05 · Registro de alfabetización en IA por puesto (AI Act, art. 4)</t>
  </si>
  <si>
    <t xml:space="preserve">Kit RRHH · Logístikos · Formación in company en logística, compras, transporte y comercio exterior</t>
  </si>
  <si>
    <t xml:space="preserve">PARA QUÉ SIRVE</t>
  </si>
  <si>
    <t xml:space="preserve">El Reglamento europeo de IA exige a las empresas que utilizan sistemas de IA adoptar medidas para garantizar un nivel suficiente de alfabetización en IA de su personal, teniendo en cuenta sus conocimientos, experiencia y el contexto de uso.</t>
  </si>
  <si>
    <t xml:space="preserve">Este registro documenta qué herramientas se usan, quién las usa y qué formación ha recibido cada persona, como evidencia de cumplimiento.</t>
  </si>
  <si>
    <t xml:space="preserve">CÓMO USARLO</t>
  </si>
  <si>
    <t xml:space="preserve">1. "Inventario herramientas": lista cada herramienta de IA en uso (ChatGPT, Copilot, funciones de IA del ERP o SGA, etc.) y su nivel de riesgo de uso.</t>
  </si>
  <si>
    <t xml:space="preserve">2. "Registro personas": una fila por persona. Al indicar la fecha de formación, la hoja calcula la próxima revisión (12 meses) y el estado.</t>
  </si>
  <si>
    <t xml:space="preserve">3. "Resumen" muestra el grado de cobertura de la plantilla.</t>
  </si>
  <si>
    <t xml:space="preserve">Las filas de ejemplo pueden sobrescribirse o borrarse. Documento orientativo: no constituye asesoramiento jurídico.</t>
  </si>
  <si>
    <t xml:space="preserve">Leyenda</t>
  </si>
  <si>
    <t xml:space="preserve">Celda a rellenar</t>
  </si>
  <si>
    <t xml:space="preserve">Fórmula (no editar)</t>
  </si>
  <si>
    <t xml:space="preserve">Plantilla orientativa. No sustituye el asesoramiento jurídico ni la normativa vigente de FUNDAE. ¿Dudas? formacion@logistikos.es · +34 696 34 80 47</t>
  </si>
  <si>
    <t xml:space="preserve">Inventario de herramientas de IA en uso</t>
  </si>
  <si>
    <t xml:space="preserve">Herramienta</t>
  </si>
  <si>
    <t xml:space="preserve">Proveedor</t>
  </si>
  <si>
    <t xml:space="preserve">Uso en la empresa</t>
  </si>
  <si>
    <t xml:space="preserve">Departamentos que la usan</t>
  </si>
  <si>
    <t xml:space="preserve">¿Datos personales o confidenciales?</t>
  </si>
  <si>
    <t xml:space="preserve">Riesgo del uso</t>
  </si>
  <si>
    <t xml:space="preserve">Política de uso aprobada</t>
  </si>
  <si>
    <t xml:space="preserve">Responsable</t>
  </si>
  <si>
    <t xml:space="preserve">Asistente de IA generativa</t>
  </si>
  <si>
    <t xml:space="preserve">[Proveedor]</t>
  </si>
  <si>
    <t xml:space="preserve">Redactar respuestas a incidencias de clientes y resumir correos</t>
  </si>
  <si>
    <t xml:space="preserve">Tráfico, atención al cliente</t>
  </si>
  <si>
    <t xml:space="preserve">Sí</t>
  </si>
  <si>
    <t xml:space="preserve">Medio</t>
  </si>
  <si>
    <t xml:space="preserve">Jefe/a de tráfico</t>
  </si>
  <si>
    <t xml:space="preserve">Registro de formación en IA por persona</t>
  </si>
  <si>
    <t xml:space="preserve">Persona</t>
  </si>
  <si>
    <t xml:space="preserve">Puesto</t>
  </si>
  <si>
    <t xml:space="preserve">Departamento</t>
  </si>
  <si>
    <t xml:space="preserve">Herramientas de IA que usa</t>
  </si>
  <si>
    <t xml:space="preserve">Nivel de uso</t>
  </si>
  <si>
    <t xml:space="preserve">Formación recibida</t>
  </si>
  <si>
    <t xml:space="preserve">Fecha de formación</t>
  </si>
  <si>
    <t xml:space="preserve">Horas</t>
  </si>
  <si>
    <t xml:space="preserve">Modalidad</t>
  </si>
  <si>
    <t xml:space="preserve">Evidencia</t>
  </si>
  <si>
    <t xml:space="preserve">Evaluación superada</t>
  </si>
  <si>
    <t xml:space="preserve">Próxima revisión</t>
  </si>
  <si>
    <t xml:space="preserve">Estado</t>
  </si>
  <si>
    <t xml:space="preserve">Ana M.</t>
  </si>
  <si>
    <t xml:space="preserve">Jefe/a de turno</t>
  </si>
  <si>
    <t xml:space="preserve">Almacén</t>
  </si>
  <si>
    <t xml:space="preserve">Básico</t>
  </si>
  <si>
    <t xml:space="preserve">Alfabetización en IA para operaciones (8 h)</t>
  </si>
  <si>
    <t xml:space="preserve">Online Live</t>
  </si>
  <si>
    <t xml:space="preserve">Certificado + registro de asistencia</t>
  </si>
  <si>
    <t xml:space="preserve">Cobertura de la alfabetización en IA</t>
  </si>
  <si>
    <t xml:space="preserve">Personas registradas</t>
  </si>
  <si>
    <t xml:space="preserve">Formación al día</t>
  </si>
  <si>
    <t xml:space="preserve">Pendientes de formar</t>
  </si>
  <si>
    <t xml:space="preserve">Formación caducada</t>
  </si>
  <si>
    <t xml:space="preserve">Cobertura</t>
  </si>
  <si>
    <t xml:space="preserve">Herramientas inventariadas</t>
  </si>
  <si>
    <t xml:space="preserve">Herramientas sin política de uso aprobada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</si>
</sst>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"/>
    <numFmt numFmtId="167" formatCode="0%;\-0%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0C1B"/>
      <name val="Arial"/>
      <family val="0"/>
      <charset val="1"/>
    </font>
    <font>
      <i val="true"/>
      <sz val="10"/>
      <color rgb="FF5556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65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7C2"/>
        <bgColor rgb="FFFFFF99"/>
      </patternFill>
    </fill>
    <fill>
      <patternFill patternType="solid">
        <fgColor rgb="FF0A0C1B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7CE"/>
      </left>
      <right style="thin">
        <color rgb="FFD9D7CE"/>
      </right>
      <top style="thin">
        <color rgb="FFD9D7CE"/>
      </top>
      <bottom style="thin">
        <color rgb="FFD9D7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D2B3"/>
        </patternFill>
      </fill>
    </dxf>
    <dxf>
      <fill>
        <patternFill>
          <bgColor rgb="FFF4B6B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2"/>
      <rgbColor rgb="FFCCFFFF"/>
      <rgbColor rgb="FF660066"/>
      <rgbColor rgb="FFFF8080"/>
      <rgbColor rgb="FF0066CC"/>
      <rgbColor rgb="FFD9D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D2B3"/>
      <rgbColor rgb="FF3366FF"/>
      <rgbColor rgb="FF33CCCC"/>
      <rgbColor rgb="FF99CC00"/>
      <rgbColor rgb="FFFFCC00"/>
      <rgbColor rgb="FFFF9900"/>
      <rgbColor rgb="FFFF6600"/>
      <rgbColor rgb="FF55565F"/>
      <rgbColor rgb="FF969696"/>
      <rgbColor rgb="FF003366"/>
      <rgbColor rgb="FF339966"/>
      <rgbColor rgb="FF0A0C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</row>
    <row r="6" customFormat="false" ht="23.85" hidden="false" customHeight="false" outlineLevel="0" collapsed="false">
      <c r="A6" s="4" t="s">
        <v>4</v>
      </c>
    </row>
    <row r="7" customFormat="false" ht="15" hidden="false" customHeight="false" outlineLevel="0" collapsed="false">
      <c r="A7" s="3" t="s">
        <v>5</v>
      </c>
    </row>
    <row r="8" customFormat="false" ht="23.8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6" t="s">
        <v>11</v>
      </c>
    </row>
    <row r="15" customFormat="false" ht="15" hidden="false" customHeight="false" outlineLevel="0" collapsed="false">
      <c r="A15" s="7" t="s">
        <v>12</v>
      </c>
    </row>
    <row r="17" customFormat="false" ht="15" hidden="false" customHeight="false" outlineLevel="0" collapsed="false">
      <c r="A17" s="8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0"/>
  </cols>
  <sheetData>
    <row r="1" customFormat="false" ht="19.7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/>
    </row>
    <row r="4" customFormat="false" ht="33.75" hidden="false" customHeight="true" outlineLevel="0" collapsed="false">
      <c r="A4" s="9" t="s">
        <v>15</v>
      </c>
      <c r="B4" s="9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9" t="s">
        <v>22</v>
      </c>
    </row>
    <row r="5" customFormat="false" ht="23.85" hidden="false" customHeight="false" outlineLevel="0" collapsed="false">
      <c r="A5" s="6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28</v>
      </c>
      <c r="G5" s="6" t="s">
        <v>27</v>
      </c>
      <c r="H5" s="6" t="s">
        <v>29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</row>
  </sheetData>
  <dataValidations count="3">
    <dataValidation allowBlank="true" errorStyle="stop" operator="between" showDropDown="false" showErrorMessage="false" showInputMessage="false" sqref="E5:E24" type="list">
      <formula1>"Sí,No"</formula1>
      <formula2>0</formula2>
    </dataValidation>
    <dataValidation allowBlank="true" errorStyle="stop" operator="between" showDropDown="false" showErrorMessage="false" showInputMessage="false" sqref="F5:F24" type="list">
      <formula1>"Bajo,Medio,Alto"</formula1>
      <formula2>0</formula2>
    </dataValidation>
    <dataValidation allowBlank="true" errorStyle="stop" operator="between" showDropDown="false" showErrorMessage="false" showInputMessage="false" sqref="G5:G24" type="list">
      <formula1>"Sí,No,En elaboración"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32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1"/>
  </cols>
  <sheetData>
    <row r="1" customFormat="false" ht="19.7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/>
    </row>
    <row r="4" customFormat="false" ht="33.75" hidden="false" customHeight="true" outlineLevel="0" collapsed="false">
      <c r="A4" s="9" t="s">
        <v>31</v>
      </c>
      <c r="B4" s="9" t="s">
        <v>32</v>
      </c>
      <c r="C4" s="9" t="s">
        <v>33</v>
      </c>
      <c r="D4" s="9" t="s">
        <v>34</v>
      </c>
      <c r="E4" s="9" t="s">
        <v>35</v>
      </c>
      <c r="F4" s="9" t="s">
        <v>36</v>
      </c>
      <c r="G4" s="9" t="s">
        <v>37</v>
      </c>
      <c r="H4" s="9" t="s">
        <v>38</v>
      </c>
      <c r="I4" s="9" t="s">
        <v>39</v>
      </c>
      <c r="J4" s="9" t="s">
        <v>40</v>
      </c>
      <c r="K4" s="9" t="s">
        <v>41</v>
      </c>
      <c r="L4" s="9" t="s">
        <v>42</v>
      </c>
      <c r="M4" s="9" t="s">
        <v>43</v>
      </c>
    </row>
    <row r="5" customFormat="false" ht="23.85" hidden="false" customHeight="false" outlineLevel="0" collapsed="false">
      <c r="A5" s="6" t="s">
        <v>44</v>
      </c>
      <c r="B5" s="6" t="s">
        <v>45</v>
      </c>
      <c r="C5" s="6" t="s">
        <v>46</v>
      </c>
      <c r="D5" s="6" t="s">
        <v>23</v>
      </c>
      <c r="E5" s="6" t="s">
        <v>47</v>
      </c>
      <c r="F5" s="6" t="s">
        <v>48</v>
      </c>
      <c r="G5" s="10" t="n">
        <v>46280</v>
      </c>
      <c r="H5" s="6" t="n">
        <v>8</v>
      </c>
      <c r="I5" s="6" t="s">
        <v>49</v>
      </c>
      <c r="J5" s="6" t="s">
        <v>50</v>
      </c>
      <c r="K5" s="6" t="s">
        <v>27</v>
      </c>
      <c r="L5" s="11" t="n">
        <f aca="false">IF(G5="","",EDATE(G5,12))</f>
        <v>46645</v>
      </c>
      <c r="M5" s="7" t="str">
        <f aca="true">IF(A5="","",IF(G5="","Pendiente",IF(TODAY()&gt;L5,"Caducada","Al día")))</f>
        <v>Al día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10"/>
      <c r="H6" s="6"/>
      <c r="I6" s="6"/>
      <c r="J6" s="6"/>
      <c r="K6" s="6"/>
      <c r="L6" s="11" t="str">
        <f aca="false">IF(G6="","",EDATE(G6,12))</f>
        <v/>
      </c>
      <c r="M6" s="7" t="str">
        <f aca="true">IF(A6="","",IF(G6="","Pendiente",IF(TODAY()&gt;L6,"Caducada","Al día")))</f>
        <v/>
      </c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10"/>
      <c r="H7" s="6"/>
      <c r="I7" s="6"/>
      <c r="J7" s="6"/>
      <c r="K7" s="6"/>
      <c r="L7" s="11" t="str">
        <f aca="false">IF(G7="","",EDATE(G7,12))</f>
        <v/>
      </c>
      <c r="M7" s="7" t="str">
        <f aca="true">IF(A7="","",IF(G7="","Pendiente",IF(TODAY()&gt;L7,"Caducada","Al día")))</f>
        <v/>
      </c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10"/>
      <c r="H8" s="6"/>
      <c r="I8" s="6"/>
      <c r="J8" s="6"/>
      <c r="K8" s="6"/>
      <c r="L8" s="11" t="str">
        <f aca="false">IF(G8="","",EDATE(G8,12))</f>
        <v/>
      </c>
      <c r="M8" s="7" t="str">
        <f aca="true">IF(A8="","",IF(G8="","Pendiente",IF(TODAY()&gt;L8,"Caducada","Al día")))</f>
        <v/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10"/>
      <c r="H9" s="6"/>
      <c r="I9" s="6"/>
      <c r="J9" s="6"/>
      <c r="K9" s="6"/>
      <c r="L9" s="11" t="str">
        <f aca="false">IF(G9="","",EDATE(G9,12))</f>
        <v/>
      </c>
      <c r="M9" s="7" t="str">
        <f aca="true">IF(A9="","",IF(G9="","Pendiente",IF(TODAY()&gt;L9,"Caducada","Al día")))</f>
        <v/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10"/>
      <c r="H10" s="6"/>
      <c r="I10" s="6"/>
      <c r="J10" s="6"/>
      <c r="K10" s="6"/>
      <c r="L10" s="11" t="str">
        <f aca="false">IF(G10="","",EDATE(G10,12))</f>
        <v/>
      </c>
      <c r="M10" s="7" t="str">
        <f aca="true">IF(A10="","",IF(G10="","Pendiente",IF(TODAY()&gt;L10,"Caducada","Al día")))</f>
        <v/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10"/>
      <c r="H11" s="6"/>
      <c r="I11" s="6"/>
      <c r="J11" s="6"/>
      <c r="K11" s="6"/>
      <c r="L11" s="11" t="str">
        <f aca="false">IF(G11="","",EDATE(G11,12))</f>
        <v/>
      </c>
      <c r="M11" s="7" t="str">
        <f aca="true">IF(A11="","",IF(G11="","Pendiente",IF(TODAY()&gt;L11,"Caducada","Al día")))</f>
        <v/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10"/>
      <c r="H12" s="6"/>
      <c r="I12" s="6"/>
      <c r="J12" s="6"/>
      <c r="K12" s="6"/>
      <c r="L12" s="11" t="str">
        <f aca="false">IF(G12="","",EDATE(G12,12))</f>
        <v/>
      </c>
      <c r="M12" s="7" t="str">
        <f aca="true">IF(A12="","",IF(G12="","Pendiente",IF(TODAY()&gt;L12,"Caducada","Al día")))</f>
        <v/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10"/>
      <c r="H13" s="6"/>
      <c r="I13" s="6"/>
      <c r="J13" s="6"/>
      <c r="K13" s="6"/>
      <c r="L13" s="11" t="str">
        <f aca="false">IF(G13="","",EDATE(G13,12))</f>
        <v/>
      </c>
      <c r="M13" s="7" t="str">
        <f aca="true">IF(A13="","",IF(G13="","Pendiente",IF(TODAY()&gt;L13,"Caducada","Al día")))</f>
        <v/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10"/>
      <c r="H14" s="6"/>
      <c r="I14" s="6"/>
      <c r="J14" s="6"/>
      <c r="K14" s="6"/>
      <c r="L14" s="11" t="str">
        <f aca="false">IF(G14="","",EDATE(G14,12))</f>
        <v/>
      </c>
      <c r="M14" s="7" t="str">
        <f aca="true">IF(A14="","",IF(G14="","Pendiente",IF(TODAY()&gt;L14,"Caducada","Al día")))</f>
        <v/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10"/>
      <c r="H15" s="6"/>
      <c r="I15" s="6"/>
      <c r="J15" s="6"/>
      <c r="K15" s="6"/>
      <c r="L15" s="11" t="str">
        <f aca="false">IF(G15="","",EDATE(G15,12))</f>
        <v/>
      </c>
      <c r="M15" s="7" t="str">
        <f aca="true">IF(A15="","",IF(G15="","Pendiente",IF(TODAY()&gt;L15,"Caducada","Al día")))</f>
        <v/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10"/>
      <c r="H16" s="6"/>
      <c r="I16" s="6"/>
      <c r="J16" s="6"/>
      <c r="K16" s="6"/>
      <c r="L16" s="11" t="str">
        <f aca="false">IF(G16="","",EDATE(G16,12))</f>
        <v/>
      </c>
      <c r="M16" s="7" t="str">
        <f aca="true">IF(A16="","",IF(G16="","Pendiente",IF(TODAY()&gt;L16,"Caducada","Al día")))</f>
        <v/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10"/>
      <c r="H17" s="6"/>
      <c r="I17" s="6"/>
      <c r="J17" s="6"/>
      <c r="K17" s="6"/>
      <c r="L17" s="11" t="str">
        <f aca="false">IF(G17="","",EDATE(G17,12))</f>
        <v/>
      </c>
      <c r="M17" s="7" t="str">
        <f aca="true">IF(A17="","",IF(G17="","Pendiente",IF(TODAY()&gt;L17,"Caducada","Al día")))</f>
        <v/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10"/>
      <c r="H18" s="6"/>
      <c r="I18" s="6"/>
      <c r="J18" s="6"/>
      <c r="K18" s="6"/>
      <c r="L18" s="11" t="str">
        <f aca="false">IF(G18="","",EDATE(G18,12))</f>
        <v/>
      </c>
      <c r="M18" s="7" t="str">
        <f aca="true">IF(A18="","",IF(G18="","Pendiente",IF(TODAY()&gt;L18,"Caducada","Al día")))</f>
        <v/>
      </c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10"/>
      <c r="H19" s="6"/>
      <c r="I19" s="6"/>
      <c r="J19" s="6"/>
      <c r="K19" s="6"/>
      <c r="L19" s="11" t="str">
        <f aca="false">IF(G19="","",EDATE(G19,12))</f>
        <v/>
      </c>
      <c r="M19" s="7" t="str">
        <f aca="true">IF(A19="","",IF(G19="","Pendiente",IF(TODAY()&gt;L19,"Caducada","Al día")))</f>
        <v/>
      </c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10"/>
      <c r="H20" s="6"/>
      <c r="I20" s="6"/>
      <c r="J20" s="6"/>
      <c r="K20" s="6"/>
      <c r="L20" s="11" t="str">
        <f aca="false">IF(G20="","",EDATE(G20,12))</f>
        <v/>
      </c>
      <c r="M20" s="7" t="str">
        <f aca="true">IF(A20="","",IF(G20="","Pendiente",IF(TODAY()&gt;L20,"Caducada","Al día")))</f>
        <v/>
      </c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10"/>
      <c r="H21" s="6"/>
      <c r="I21" s="6"/>
      <c r="J21" s="6"/>
      <c r="K21" s="6"/>
      <c r="L21" s="11" t="str">
        <f aca="false">IF(G21="","",EDATE(G21,12))</f>
        <v/>
      </c>
      <c r="M21" s="7" t="str">
        <f aca="true">IF(A21="","",IF(G21="","Pendiente",IF(TODAY()&gt;L21,"Caducada","Al día")))</f>
        <v/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10"/>
      <c r="H22" s="6"/>
      <c r="I22" s="6"/>
      <c r="J22" s="6"/>
      <c r="K22" s="6"/>
      <c r="L22" s="11" t="str">
        <f aca="false">IF(G22="","",EDATE(G22,12))</f>
        <v/>
      </c>
      <c r="M22" s="7" t="str">
        <f aca="true">IF(A22="","",IF(G22="","Pendiente",IF(TODAY()&gt;L22,"Caducada","Al día")))</f>
        <v/>
      </c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10"/>
      <c r="H23" s="6"/>
      <c r="I23" s="6"/>
      <c r="J23" s="6"/>
      <c r="K23" s="6"/>
      <c r="L23" s="11" t="str">
        <f aca="false">IF(G23="","",EDATE(G23,12))</f>
        <v/>
      </c>
      <c r="M23" s="7" t="str">
        <f aca="true">IF(A23="","",IF(G23="","Pendiente",IF(TODAY()&gt;L23,"Caducada","Al día")))</f>
        <v/>
      </c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10"/>
      <c r="H24" s="6"/>
      <c r="I24" s="6"/>
      <c r="J24" s="6"/>
      <c r="K24" s="6"/>
      <c r="L24" s="11" t="str">
        <f aca="false">IF(G24="","",EDATE(G24,12))</f>
        <v/>
      </c>
      <c r="M24" s="7" t="str">
        <f aca="true">IF(A24="","",IF(G24="","Pendiente",IF(TODAY()&gt;L24,"Caducada","Al día")))</f>
        <v/>
      </c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10"/>
      <c r="H25" s="6"/>
      <c r="I25" s="6"/>
      <c r="J25" s="6"/>
      <c r="K25" s="6"/>
      <c r="L25" s="11" t="str">
        <f aca="false">IF(G25="","",EDATE(G25,12))</f>
        <v/>
      </c>
      <c r="M25" s="7" t="str">
        <f aca="true">IF(A25="","",IF(G25="","Pendiente",IF(TODAY()&gt;L25,"Caducada","Al día")))</f>
        <v/>
      </c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10"/>
      <c r="H26" s="6"/>
      <c r="I26" s="6"/>
      <c r="J26" s="6"/>
      <c r="K26" s="6"/>
      <c r="L26" s="11" t="str">
        <f aca="false">IF(G26="","",EDATE(G26,12))</f>
        <v/>
      </c>
      <c r="M26" s="7" t="str">
        <f aca="true">IF(A26="","",IF(G26="","Pendiente",IF(TODAY()&gt;L26,"Caducada","Al día")))</f>
        <v/>
      </c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10"/>
      <c r="H27" s="6"/>
      <c r="I27" s="6"/>
      <c r="J27" s="6"/>
      <c r="K27" s="6"/>
      <c r="L27" s="11" t="str">
        <f aca="false">IF(G27="","",EDATE(G27,12))</f>
        <v/>
      </c>
      <c r="M27" s="7" t="str">
        <f aca="true">IF(A27="","",IF(G27="","Pendiente",IF(TODAY()&gt;L27,"Caducada","Al día")))</f>
        <v/>
      </c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10"/>
      <c r="H28" s="6"/>
      <c r="I28" s="6"/>
      <c r="J28" s="6"/>
      <c r="K28" s="6"/>
      <c r="L28" s="11" t="str">
        <f aca="false">IF(G28="","",EDATE(G28,12))</f>
        <v/>
      </c>
      <c r="M28" s="7" t="str">
        <f aca="true">IF(A28="","",IF(G28="","Pendiente",IF(TODAY()&gt;L28,"Caducada","Al día")))</f>
        <v/>
      </c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10"/>
      <c r="H29" s="6"/>
      <c r="I29" s="6"/>
      <c r="J29" s="6"/>
      <c r="K29" s="6"/>
      <c r="L29" s="11" t="str">
        <f aca="false">IF(G29="","",EDATE(G29,12))</f>
        <v/>
      </c>
      <c r="M29" s="7" t="str">
        <f aca="true">IF(A29="","",IF(G29="","Pendiente",IF(TODAY()&gt;L29,"Caducada","Al día")))</f>
        <v/>
      </c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10"/>
      <c r="H30" s="6"/>
      <c r="I30" s="6"/>
      <c r="J30" s="6"/>
      <c r="K30" s="6"/>
      <c r="L30" s="11" t="str">
        <f aca="false">IF(G30="","",EDATE(G30,12))</f>
        <v/>
      </c>
      <c r="M30" s="7" t="str">
        <f aca="true">IF(A30="","",IF(G30="","Pendiente",IF(TODAY()&gt;L30,"Caducada","Al día")))</f>
        <v/>
      </c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10"/>
      <c r="H31" s="6"/>
      <c r="I31" s="6"/>
      <c r="J31" s="6"/>
      <c r="K31" s="6"/>
      <c r="L31" s="11" t="str">
        <f aca="false">IF(G31="","",EDATE(G31,12))</f>
        <v/>
      </c>
      <c r="M31" s="7" t="str">
        <f aca="true">IF(A31="","",IF(G31="","Pendiente",IF(TODAY()&gt;L31,"Caducada","Al día")))</f>
        <v/>
      </c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10"/>
      <c r="H32" s="6"/>
      <c r="I32" s="6"/>
      <c r="J32" s="6"/>
      <c r="K32" s="6"/>
      <c r="L32" s="11" t="str">
        <f aca="false">IF(G32="","",EDATE(G32,12))</f>
        <v/>
      </c>
      <c r="M32" s="7" t="str">
        <f aca="true">IF(A32="","",IF(G32="","Pendiente",IF(TODAY()&gt;L32,"Caducada","Al día")))</f>
        <v/>
      </c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10"/>
      <c r="H33" s="6"/>
      <c r="I33" s="6"/>
      <c r="J33" s="6"/>
      <c r="K33" s="6"/>
      <c r="L33" s="11" t="str">
        <f aca="false">IF(G33="","",EDATE(G33,12))</f>
        <v/>
      </c>
      <c r="M33" s="7" t="str">
        <f aca="true">IF(A33="","",IF(G33="","Pendiente",IF(TODAY()&gt;L33,"Caducada","Al día")))</f>
        <v/>
      </c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10"/>
      <c r="H34" s="6"/>
      <c r="I34" s="6"/>
      <c r="J34" s="6"/>
      <c r="K34" s="6"/>
      <c r="L34" s="11" t="str">
        <f aca="false">IF(G34="","",EDATE(G34,12))</f>
        <v/>
      </c>
      <c r="M34" s="7" t="str">
        <f aca="true">IF(A34="","",IF(G34="","Pendiente",IF(TODAY()&gt;L34,"Caducada","Al día")))</f>
        <v/>
      </c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10"/>
      <c r="H35" s="6"/>
      <c r="I35" s="6"/>
      <c r="J35" s="6"/>
      <c r="K35" s="6"/>
      <c r="L35" s="11" t="str">
        <f aca="false">IF(G35="","",EDATE(G35,12))</f>
        <v/>
      </c>
      <c r="M35" s="7" t="str">
        <f aca="true">IF(A35="","",IF(G35="","Pendiente",IF(TODAY()&gt;L35,"Caducada","Al día")))</f>
        <v/>
      </c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10"/>
      <c r="H36" s="6"/>
      <c r="I36" s="6"/>
      <c r="J36" s="6"/>
      <c r="K36" s="6"/>
      <c r="L36" s="11" t="str">
        <f aca="false">IF(G36="","",EDATE(G36,12))</f>
        <v/>
      </c>
      <c r="M36" s="7" t="str">
        <f aca="true">IF(A36="","",IF(G36="","Pendiente",IF(TODAY()&gt;L36,"Caducada","Al día")))</f>
        <v/>
      </c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10"/>
      <c r="H37" s="6"/>
      <c r="I37" s="6"/>
      <c r="J37" s="6"/>
      <c r="K37" s="6"/>
      <c r="L37" s="11" t="str">
        <f aca="false">IF(G37="","",EDATE(G37,12))</f>
        <v/>
      </c>
      <c r="M37" s="7" t="str">
        <f aca="true">IF(A37="","",IF(G37="","Pendiente",IF(TODAY()&gt;L37,"Caducada","Al día")))</f>
        <v/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10"/>
      <c r="H38" s="6"/>
      <c r="I38" s="6"/>
      <c r="J38" s="6"/>
      <c r="K38" s="6"/>
      <c r="L38" s="11" t="str">
        <f aca="false">IF(G38="","",EDATE(G38,12))</f>
        <v/>
      </c>
      <c r="M38" s="7" t="str">
        <f aca="true">IF(A38="","",IF(G38="","Pendiente",IF(TODAY()&gt;L38,"Caducada","Al día")))</f>
        <v/>
      </c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10"/>
      <c r="H39" s="6"/>
      <c r="I39" s="6"/>
      <c r="J39" s="6"/>
      <c r="K39" s="6"/>
      <c r="L39" s="11" t="str">
        <f aca="false">IF(G39="","",EDATE(G39,12))</f>
        <v/>
      </c>
      <c r="M39" s="7" t="str">
        <f aca="true">IF(A39="","",IF(G39="","Pendiente",IF(TODAY()&gt;L39,"Caducada","Al día")))</f>
        <v/>
      </c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10"/>
      <c r="H40" s="6"/>
      <c r="I40" s="6"/>
      <c r="J40" s="6"/>
      <c r="K40" s="6"/>
      <c r="L40" s="11" t="str">
        <f aca="false">IF(G40="","",EDATE(G40,12))</f>
        <v/>
      </c>
      <c r="M40" s="7" t="str">
        <f aca="true">IF(A40="","",IF(G40="","Pendiente",IF(TODAY()&gt;L40,"Caducada","Al día")))</f>
        <v/>
      </c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10"/>
      <c r="H41" s="6"/>
      <c r="I41" s="6"/>
      <c r="J41" s="6"/>
      <c r="K41" s="6"/>
      <c r="L41" s="11" t="str">
        <f aca="false">IF(G41="","",EDATE(G41,12))</f>
        <v/>
      </c>
      <c r="M41" s="7" t="str">
        <f aca="true">IF(A41="","",IF(G41="","Pendiente",IF(TODAY()&gt;L41,"Caducada","Al día")))</f>
        <v/>
      </c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10"/>
      <c r="H42" s="6"/>
      <c r="I42" s="6"/>
      <c r="J42" s="6"/>
      <c r="K42" s="6"/>
      <c r="L42" s="11" t="str">
        <f aca="false">IF(G42="","",EDATE(G42,12))</f>
        <v/>
      </c>
      <c r="M42" s="7" t="str">
        <f aca="true">IF(A42="","",IF(G42="","Pendiente",IF(TODAY()&gt;L42,"Caducada","Al día")))</f>
        <v/>
      </c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10"/>
      <c r="H43" s="6"/>
      <c r="I43" s="6"/>
      <c r="J43" s="6"/>
      <c r="K43" s="6"/>
      <c r="L43" s="11" t="str">
        <f aca="false">IF(G43="","",EDATE(G43,12))</f>
        <v/>
      </c>
      <c r="M43" s="7" t="str">
        <f aca="true">IF(A43="","",IF(G43="","Pendiente",IF(TODAY()&gt;L43,"Caducada","Al día")))</f>
        <v/>
      </c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10"/>
      <c r="H44" s="6"/>
      <c r="I44" s="6"/>
      <c r="J44" s="6"/>
      <c r="K44" s="6"/>
      <c r="L44" s="11" t="str">
        <f aca="false">IF(G44="","",EDATE(G44,12))</f>
        <v/>
      </c>
      <c r="M44" s="7" t="str">
        <f aca="true">IF(A44="","",IF(G44="","Pendiente",IF(TODAY()&gt;L44,"Caducada","Al día")))</f>
        <v/>
      </c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10"/>
      <c r="H45" s="6"/>
      <c r="I45" s="6"/>
      <c r="J45" s="6"/>
      <c r="K45" s="6"/>
      <c r="L45" s="11" t="str">
        <f aca="false">IF(G45="","",EDATE(G45,12))</f>
        <v/>
      </c>
      <c r="M45" s="7" t="str">
        <f aca="true">IF(A45="","",IF(G45="","Pendiente",IF(TODAY()&gt;L45,"Caducada","Al día")))</f>
        <v/>
      </c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10"/>
      <c r="H46" s="6"/>
      <c r="I46" s="6"/>
      <c r="J46" s="6"/>
      <c r="K46" s="6"/>
      <c r="L46" s="11" t="str">
        <f aca="false">IF(G46="","",EDATE(G46,12))</f>
        <v/>
      </c>
      <c r="M46" s="7" t="str">
        <f aca="true">IF(A46="","",IF(G46="","Pendiente",IF(TODAY()&gt;L46,"Caducada","Al día")))</f>
        <v/>
      </c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10"/>
      <c r="H47" s="6"/>
      <c r="I47" s="6"/>
      <c r="J47" s="6"/>
      <c r="K47" s="6"/>
      <c r="L47" s="11" t="str">
        <f aca="false">IF(G47="","",EDATE(G47,12))</f>
        <v/>
      </c>
      <c r="M47" s="7" t="str">
        <f aca="true">IF(A47="","",IF(G47="","Pendiente",IF(TODAY()&gt;L47,"Caducada","Al día")))</f>
        <v/>
      </c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10"/>
      <c r="H48" s="6"/>
      <c r="I48" s="6"/>
      <c r="J48" s="6"/>
      <c r="K48" s="6"/>
      <c r="L48" s="11" t="str">
        <f aca="false">IF(G48="","",EDATE(G48,12))</f>
        <v/>
      </c>
      <c r="M48" s="7" t="str">
        <f aca="true">IF(A48="","",IF(G48="","Pendiente",IF(TODAY()&gt;L48,"Caducada","Al día")))</f>
        <v/>
      </c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10"/>
      <c r="H49" s="6"/>
      <c r="I49" s="6"/>
      <c r="J49" s="6"/>
      <c r="K49" s="6"/>
      <c r="L49" s="11" t="str">
        <f aca="false">IF(G49="","",EDATE(G49,12))</f>
        <v/>
      </c>
      <c r="M49" s="7" t="str">
        <f aca="true">IF(A49="","",IF(G49="","Pendiente",IF(TODAY()&gt;L49,"Caducada","Al día")))</f>
        <v/>
      </c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10"/>
      <c r="H50" s="6"/>
      <c r="I50" s="6"/>
      <c r="J50" s="6"/>
      <c r="K50" s="6"/>
      <c r="L50" s="11" t="str">
        <f aca="false">IF(G50="","",EDATE(G50,12))</f>
        <v/>
      </c>
      <c r="M50" s="7" t="str">
        <f aca="true">IF(A50="","",IF(G50="","Pendiente",IF(TODAY()&gt;L50,"Caducada","Al día")))</f>
        <v/>
      </c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10"/>
      <c r="H51" s="6"/>
      <c r="I51" s="6"/>
      <c r="J51" s="6"/>
      <c r="K51" s="6"/>
      <c r="L51" s="11" t="str">
        <f aca="false">IF(G51="","",EDATE(G51,12))</f>
        <v/>
      </c>
      <c r="M51" s="7" t="str">
        <f aca="true">IF(A51="","",IF(G51="","Pendiente",IF(TODAY()&gt;L51,"Caducada","Al día")))</f>
        <v/>
      </c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10"/>
      <c r="H52" s="6"/>
      <c r="I52" s="6"/>
      <c r="J52" s="6"/>
      <c r="K52" s="6"/>
      <c r="L52" s="11" t="str">
        <f aca="false">IF(G52="","",EDATE(G52,12))</f>
        <v/>
      </c>
      <c r="M52" s="7" t="str">
        <f aca="true">IF(A52="","",IF(G52="","Pendiente",IF(TODAY()&gt;L52,"Caducada","Al día")))</f>
        <v/>
      </c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10"/>
      <c r="H53" s="6"/>
      <c r="I53" s="6"/>
      <c r="J53" s="6"/>
      <c r="K53" s="6"/>
      <c r="L53" s="11" t="str">
        <f aca="false">IF(G53="","",EDATE(G53,12))</f>
        <v/>
      </c>
      <c r="M53" s="7" t="str">
        <f aca="true">IF(A53="","",IF(G53="","Pendiente",IF(TODAY()&gt;L53,"Caducada","Al día")))</f>
        <v/>
      </c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10"/>
      <c r="H54" s="6"/>
      <c r="I54" s="6"/>
      <c r="J54" s="6"/>
      <c r="K54" s="6"/>
      <c r="L54" s="11" t="str">
        <f aca="false">IF(G54="","",EDATE(G54,12))</f>
        <v/>
      </c>
      <c r="M54" s="7" t="str">
        <f aca="true">IF(A54="","",IF(G54="","Pendiente",IF(TODAY()&gt;L54,"Caducada","Al día")))</f>
        <v/>
      </c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10"/>
      <c r="H55" s="6"/>
      <c r="I55" s="6"/>
      <c r="J55" s="6"/>
      <c r="K55" s="6"/>
      <c r="L55" s="11" t="str">
        <f aca="false">IF(G55="","",EDATE(G55,12))</f>
        <v/>
      </c>
      <c r="M55" s="7" t="str">
        <f aca="true">IF(A55="","",IF(G55="","Pendiente",IF(TODAY()&gt;L55,"Caducada","Al día")))</f>
        <v/>
      </c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10"/>
      <c r="H56" s="6"/>
      <c r="I56" s="6"/>
      <c r="J56" s="6"/>
      <c r="K56" s="6"/>
      <c r="L56" s="11" t="str">
        <f aca="false">IF(G56="","",EDATE(G56,12))</f>
        <v/>
      </c>
      <c r="M56" s="7" t="str">
        <f aca="true">IF(A56="","",IF(G56="","Pendiente",IF(TODAY()&gt;L56,"Caducada","Al día")))</f>
        <v/>
      </c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10"/>
      <c r="H57" s="6"/>
      <c r="I57" s="6"/>
      <c r="J57" s="6"/>
      <c r="K57" s="6"/>
      <c r="L57" s="11" t="str">
        <f aca="false">IF(G57="","",EDATE(G57,12))</f>
        <v/>
      </c>
      <c r="M57" s="7" t="str">
        <f aca="true">IF(A57="","",IF(G57="","Pendiente",IF(TODAY()&gt;L57,"Caducada","Al día")))</f>
        <v/>
      </c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10"/>
      <c r="H58" s="6"/>
      <c r="I58" s="6"/>
      <c r="J58" s="6"/>
      <c r="K58" s="6"/>
      <c r="L58" s="11" t="str">
        <f aca="false">IF(G58="","",EDATE(G58,12))</f>
        <v/>
      </c>
      <c r="M58" s="7" t="str">
        <f aca="true">IF(A58="","",IF(G58="","Pendiente",IF(TODAY()&gt;L58,"Caducada","Al día")))</f>
        <v/>
      </c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10"/>
      <c r="H59" s="6"/>
      <c r="I59" s="6"/>
      <c r="J59" s="6"/>
      <c r="K59" s="6"/>
      <c r="L59" s="11" t="str">
        <f aca="false">IF(G59="","",EDATE(G59,12))</f>
        <v/>
      </c>
      <c r="M59" s="7" t="str">
        <f aca="true">IF(A59="","",IF(G59="","Pendiente",IF(TODAY()&gt;L59,"Caducada","Al día")))</f>
        <v/>
      </c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10"/>
      <c r="H60" s="6"/>
      <c r="I60" s="6"/>
      <c r="J60" s="6"/>
      <c r="K60" s="6"/>
      <c r="L60" s="11" t="str">
        <f aca="false">IF(G60="","",EDATE(G60,12))</f>
        <v/>
      </c>
      <c r="M60" s="7" t="str">
        <f aca="true">IF(A60="","",IF(G60="","Pendiente",IF(TODAY()&gt;L60,"Caducada","Al día")))</f>
        <v/>
      </c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10"/>
      <c r="H61" s="6"/>
      <c r="I61" s="6"/>
      <c r="J61" s="6"/>
      <c r="K61" s="6"/>
      <c r="L61" s="11" t="str">
        <f aca="false">IF(G61="","",EDATE(G61,12))</f>
        <v/>
      </c>
      <c r="M61" s="7" t="str">
        <f aca="true">IF(A61="","",IF(G61="","Pendiente",IF(TODAY()&gt;L61,"Caducada","Al día")))</f>
        <v/>
      </c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10"/>
      <c r="H62" s="6"/>
      <c r="I62" s="6"/>
      <c r="J62" s="6"/>
      <c r="K62" s="6"/>
      <c r="L62" s="11" t="str">
        <f aca="false">IF(G62="","",EDATE(G62,12))</f>
        <v/>
      </c>
      <c r="M62" s="7" t="str">
        <f aca="true">IF(A62="","",IF(G62="","Pendiente",IF(TODAY()&gt;L62,"Caducada","Al día")))</f>
        <v/>
      </c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10"/>
      <c r="H63" s="6"/>
      <c r="I63" s="6"/>
      <c r="J63" s="6"/>
      <c r="K63" s="6"/>
      <c r="L63" s="11" t="str">
        <f aca="false">IF(G63="","",EDATE(G63,12))</f>
        <v/>
      </c>
      <c r="M63" s="7" t="str">
        <f aca="true">IF(A63="","",IF(G63="","Pendiente",IF(TODAY()&gt;L63,"Caducada","Al día")))</f>
        <v/>
      </c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10"/>
      <c r="H64" s="6"/>
      <c r="I64" s="6"/>
      <c r="J64" s="6"/>
      <c r="K64" s="6"/>
      <c r="L64" s="11" t="str">
        <f aca="false">IF(G64="","",EDATE(G64,12))</f>
        <v/>
      </c>
      <c r="M64" s="7" t="str">
        <f aca="true">IF(A64="","",IF(G64="","Pendiente",IF(TODAY()&gt;L64,"Caducada","Al día")))</f>
        <v/>
      </c>
    </row>
  </sheetData>
  <conditionalFormatting sqref="M5:M64">
    <cfRule type="cellIs" priority="2" operator="equal" aboveAverage="0" equalAverage="0" bottom="0" percent="0" rank="0" text="" dxfId="0">
      <formula>"Pendiente"</formula>
    </cfRule>
    <cfRule type="cellIs" priority="3" operator="equal" aboveAverage="0" equalAverage="0" bottom="0" percent="0" rank="0" text="" dxfId="1">
      <formula>"Caducada"</formula>
    </cfRule>
  </conditionalFormatting>
  <dataValidations count="4">
    <dataValidation allowBlank="true" errorStyle="stop" operator="between" showDropDown="false" showErrorMessage="false" showInputMessage="false" sqref="C5:C64" type="list">
      <formula1>"Almacén,Tráfico y transporte,Compras,Comercio exterior,Planificación,Mandos y dirección"</formula1>
      <formula2>0</formula2>
    </dataValidation>
    <dataValidation allowBlank="true" errorStyle="stop" operator="between" showDropDown="false" showErrorMessage="false" showInputMessage="false" sqref="E5:E64" type="list">
      <formula1>"Básico,Avanzado,Desarrollo"</formula1>
      <formula2>0</formula2>
    </dataValidation>
    <dataValidation allowBlank="true" errorStyle="stop" operator="between" showDropDown="false" showErrorMessage="false" showInputMessage="false" sqref="I5:I64" type="list">
      <formula1>"Presencial,Online Live,Híbrida,Teleformación"</formula1>
      <formula2>0</formula2>
    </dataValidation>
    <dataValidation allowBlank="true" errorStyle="stop" operator="between" showDropDown="false" showErrorMessage="false" showInputMessage="false" sqref="K5:K64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/>
    </row>
    <row r="4" customFormat="false" ht="15" hidden="false" customHeight="false" outlineLevel="0" collapsed="false">
      <c r="A4" s="12" t="s">
        <v>52</v>
      </c>
      <c r="B4" s="13" t="n">
        <f aca="false">COUNTA('Registro personas'!A5:A64)</f>
        <v>1</v>
      </c>
    </row>
    <row r="5" customFormat="false" ht="15" hidden="false" customHeight="false" outlineLevel="0" collapsed="false">
      <c r="A5" s="12" t="s">
        <v>53</v>
      </c>
      <c r="B5" s="13" t="n">
        <f aca="false">COUNTIF('Registro personas'!M5:M64,"Al día")</f>
        <v>1</v>
      </c>
    </row>
    <row r="6" customFormat="false" ht="15" hidden="false" customHeight="false" outlineLevel="0" collapsed="false">
      <c r="A6" s="12" t="s">
        <v>54</v>
      </c>
      <c r="B6" s="13" t="n">
        <f aca="false">COUNTIF('Registro personas'!M5:M64,"Pendiente")</f>
        <v>0</v>
      </c>
    </row>
    <row r="7" customFormat="false" ht="15" hidden="false" customHeight="false" outlineLevel="0" collapsed="false">
      <c r="A7" s="12" t="s">
        <v>55</v>
      </c>
      <c r="B7" s="13" t="n">
        <f aca="false">COUNTIF('Registro personas'!M5:M64,"Caducada")</f>
        <v>0</v>
      </c>
    </row>
    <row r="8" customFormat="false" ht="15" hidden="false" customHeight="false" outlineLevel="0" collapsed="false">
      <c r="A8" s="12" t="s">
        <v>56</v>
      </c>
      <c r="B8" s="14" t="n">
        <f aca="false">IF(B4=0,0,B5/B4)</f>
        <v>1</v>
      </c>
    </row>
    <row r="9" customFormat="false" ht="15" hidden="false" customHeight="false" outlineLevel="0" collapsed="false">
      <c r="A9" s="12" t="s">
        <v>57</v>
      </c>
      <c r="B9" s="13" t="n">
        <f aca="false">COUNTA('Inventario herramientas'!A5:A24)</f>
        <v>1</v>
      </c>
    </row>
    <row r="10" customFormat="false" ht="15" hidden="false" customHeight="false" outlineLevel="0" collapsed="false">
      <c r="A10" s="12" t="s">
        <v>58</v>
      </c>
      <c r="B10" s="13" t="n">
        <f aca="false">COUNTIF('Inventario herramientas'!G5:G24,"No")+COUNTIF('Inventario herramientas'!G5:G24,"En elaboración")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2026-09-25T13:08:57Z</dcterms:created>
  <dc:creator>openpyxl</dc:creator>
  <dc:description/>
  <dc:language>en-US</dc:language>
  <cp:lastModifiedBy/>
  <dcterms:modified xsi:type="dcterms:W3CDTF">2026-09-25T13:08:57Z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
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Niveles 1-2" sheetId="2" state="visible" r:id="rId4"/>
    <sheet name="Niveles 3-4" sheetId="3" state="visible" r:id="rId5"/>
    <sheet name="ROI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<sst xmlns="http://schemas.openxmlformats.org/spreadsheetml/2006/main" count="61" uniqueCount="59">
  <si>
    <t xml:space="preserve">KIT-06 · Medición de impacto y ROI de la formación</t>
  </si>
  <si>
    <t xml:space="preserve">Kit RRHH · Logístikos · Formación in company en logística, compras, transporte y comercio exterior</t>
  </si>
  <si>
    <t xml:space="preserve">PARA QUÉ SIRVE</t>
  </si>
  <si>
    <t xml:space="preserve">Demuestra al comité que la formación mueve indicadores de operación, no solo horas de aula. Sigue los cuatro niveles clásicos de evaluación: satisfacción, aprendizaje, aplicación y resultados.</t>
  </si>
  <si>
    <t xml:space="preserve">CÓMO USARLO</t>
  </si>
  <si>
    <t xml:space="preserve">1. "Niveles 1-2": satisfacción media del grupo y resultado de las pruebas antes y después.</t>
  </si>
  <si>
    <t xml:space="preserve">2. "Niveles 3-4": elige 2 o 3 KPIs de operación pactados antes de empezar y mídelos antes y a los 60 días.</t>
  </si>
  <si>
    <t xml:space="preserve">3. "ROI": introduce costes y bonificación. La hoja calcula inversión neta, beneficio anual estimado, ROI y meses de recuperación.</t>
  </si>
  <si>
    <t xml:space="preserve">Consejo: acuerda con dirección qué KPIs y qué valor económico por unidad se usarán antes de empezar la formación. Los ejemplos pueden sobrescribirse.</t>
  </si>
  <si>
    <t xml:space="preserve">Leyenda</t>
  </si>
  <si>
    <t xml:space="preserve">Celda a rellenar</t>
  </si>
  <si>
    <t xml:space="preserve">Fórmula (no editar)</t>
  </si>
  <si>
    <t xml:space="preserve">Plantilla orientativa. No sustituye el asesoramiento jurídico ni la normativa vigente de FUNDAE. ¿Dudas? formacion@logistikos.es · +34 696 34 80 47</t>
  </si>
  <si>
    <t xml:space="preserve">Nivel 1 satisfacción · Nivel 2 aprendizaje</t>
  </si>
  <si>
    <t xml:space="preserve">Una fila por participante</t>
  </si>
  <si>
    <t xml:space="preserve">Participante</t>
  </si>
  <si>
    <t xml:space="preserve">Satisfacción (1-10)</t>
  </si>
  <si>
    <t xml:space="preserve">Prueba inicial (0-100)</t>
  </si>
  <si>
    <t xml:space="preserve">Prueba final (0-100)</t>
  </si>
  <si>
    <t xml:space="preserve">Mejora (puntos)</t>
  </si>
  <si>
    <t xml:space="preserve">Participante 1</t>
  </si>
  <si>
    <t xml:space="preserve">Participante 2</t>
  </si>
  <si>
    <t xml:space="preserve">Satisfacción media</t>
  </si>
  <si>
    <t xml:space="preserve">Nota inicial media</t>
  </si>
  <si>
    <t xml:space="preserve">Nota final media</t>
  </si>
  <si>
    <t xml:space="preserve">Mejora media (puntos)</t>
  </si>
  <si>
    <t xml:space="preserve">Nivel 3 aplicación · Nivel 4 resultados</t>
  </si>
  <si>
    <t xml:space="preserve">KPIs de operación medidos antes y a los 60 días</t>
  </si>
  <si>
    <t xml:space="preserve">KPI</t>
  </si>
  <si>
    <t xml:space="preserve">Unidad</t>
  </si>
  <si>
    <t xml:space="preserve">Valor antes</t>
  </si>
  <si>
    <t xml:space="preserve">Valor a 60 días</t>
  </si>
  <si>
    <t xml:space="preserve">¿Mejor si baja?</t>
  </si>
  <si>
    <t xml:space="preserve">Mejora (%)</t>
  </si>
  <si>
    <t xml:space="preserve">Volumen anual (unidades)</t>
  </si>
  <si>
    <t xml:space="preserve">Coste o valor por unidad (€)</t>
  </si>
  <si>
    <t xml:space="preserve">Beneficio anual estimado (€)</t>
  </si>
  <si>
    <t xml:space="preserve">Errores de preparación</t>
  </si>
  <si>
    <t xml:space="preserve">errores por 1.000 líneas</t>
  </si>
  <si>
    <t xml:space="preserve">Sí</t>
  </si>
  <si>
    <t xml:space="preserve">Transporte urgente</t>
  </si>
  <si>
    <t xml:space="preserve">envíos urgentes al mes</t>
  </si>
  <si>
    <t xml:space="preserve">Volumen anual: nº de veces que se aplica la unidad en un año (p. ej., miles de líneas preparadas al año, o meses). Ejemplo 1: 300 miles de líneas/año × 2,5 errores menos × 25 € por error.</t>
  </si>
  <si>
    <t xml:space="preserve">Beneficio anual total estimado</t>
  </si>
  <si>
    <t xml:space="preserve">Retorno de la inversión en formación</t>
  </si>
  <si>
    <t xml:space="preserve">Coste de la formación (€)</t>
  </si>
  <si>
    <t xml:space="preserve">Bonificación FUNDAE aplicada (€)</t>
  </si>
  <si>
    <t xml:space="preserve">Ver KIT-02 o la calculadora de logistikos.pro</t>
  </si>
  <si>
    <t xml:space="preserve">Participantes</t>
  </si>
  <si>
    <t xml:space="preserve">Horas por participante</t>
  </si>
  <si>
    <t xml:space="preserve">Coste salarial por hora (€)</t>
  </si>
  <si>
    <t xml:space="preserve">Coste empresa medio por hora de los participantes</t>
  </si>
  <si>
    <t xml:space="preserve">Coste salarial de las horas de formación (€)</t>
  </si>
  <si>
    <t xml:space="preserve">Solo si la formación es en horario laboral</t>
  </si>
  <si>
    <t xml:space="preserve">Inversión neta (€)</t>
  </si>
  <si>
    <t xml:space="preserve">Procede de la hoja Niveles 3-4</t>
  </si>
  <si>
    <t xml:space="preserve">ROI del primer año</t>
  </si>
  <si>
    <t xml:space="preserve">(Beneficio − inversión) / inversión</t>
  </si>
  <si>
    <t xml:space="preserve">Meses para recuperar la inversión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</si>
</sst>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0%;\-0%;\-"/>
    <numFmt numFmtId="167" formatCode="#,##0&quot; €&quot;;\-#,##0&quot; €&quot;;\-"/>
    <numFmt numFmtId="168" formatCode="0"/>
    <numFmt numFmtId="169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A0C1B"/>
      <name val="Arial"/>
      <family val="0"/>
      <charset val="1"/>
    </font>
    <font>
      <i val="true"/>
      <sz val="10"/>
      <color rgb="FF55565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5565F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7C2"/>
        <bgColor rgb="FFFFFF99"/>
      </patternFill>
    </fill>
    <fill>
      <patternFill patternType="solid">
        <fgColor rgb="FF0A0C1B"/>
        <bgColor rgb="FF0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7CE"/>
      </left>
      <right style="thin">
        <color rgb="FFD9D7CE"/>
      </right>
      <top style="thin">
        <color rgb="FFD9D7CE"/>
      </top>
      <bottom style="thin">
        <color rgb="FFD9D7C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C2"/>
      <rgbColor rgb="FFCCFFFF"/>
      <rgbColor rgb="FF660066"/>
      <rgbColor rgb="FFFF8080"/>
      <rgbColor rgb="FF0066CC"/>
      <rgbColor rgb="FFD9D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65F"/>
      <rgbColor rgb="FF969696"/>
      <rgbColor rgb="FF003366"/>
      <rgbColor rgb="FF339966"/>
      <rgbColor rgb="FF0A0C1B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23.85" hidden="false" customHeight="false" outlineLevel="0" collapsed="false">
      <c r="A5" s="4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9" customFormat="false" ht="15" hidden="false" customHeight="false" outlineLevel="0" collapsed="false">
      <c r="A9" s="4" t="s">
        <v>7</v>
      </c>
    </row>
    <row r="10" customFormat="false" ht="23.85" hidden="false" customHeight="false" outlineLevel="0" collapsed="false">
      <c r="A10" s="4" t="s">
        <v>8</v>
      </c>
    </row>
    <row r="12" customFormat="false" ht="15" hidden="false" customHeight="false" outlineLevel="0" collapsed="false">
      <c r="A12" s="5" t="s">
        <v>9</v>
      </c>
    </row>
    <row r="13" customFormat="false" ht="15" hidden="false" customHeight="false" outlineLevel="0" collapsed="false">
      <c r="A13" s="6" t="s">
        <v>10</v>
      </c>
    </row>
    <row r="14" customFormat="false" ht="15" hidden="false" customHeight="false" outlineLevel="0" collapsed="false">
      <c r="A14" s="7" t="s">
        <v>11</v>
      </c>
    </row>
    <row r="16" customFormat="false" ht="15" hidden="false" customHeight="false" outlineLevel="0" collapsed="false">
      <c r="A16" s="8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5" min="2" style="0" width="14"/>
  </cols>
  <sheetData>
    <row r="1" customFormat="false" ht="19.7" hidden="false" customHeight="false" outlineLevel="0" collapsed="false">
      <c r="A1" s="1" t="s">
        <v>13</v>
      </c>
    </row>
    <row r="2" customFormat="false" ht="15" hidden="false" customHeight="false" outlineLevel="0" collapsed="false">
      <c r="A2" s="2" t="s">
        <v>14</v>
      </c>
    </row>
    <row r="4" customFormat="false" ht="33.75" hidden="false" customHeight="true" outlineLevel="0" collapsed="false">
      <c r="A4" s="9" t="s">
        <v>15</v>
      </c>
      <c r="B4" s="9" t="s">
        <v>16</v>
      </c>
      <c r="C4" s="9" t="s">
        <v>17</v>
      </c>
      <c r="D4" s="9" t="s">
        <v>18</v>
      </c>
      <c r="E4" s="9" t="s">
        <v>19</v>
      </c>
    </row>
    <row r="5" customFormat="false" ht="15" hidden="false" customHeight="false" outlineLevel="0" collapsed="false">
      <c r="A5" s="6" t="s">
        <v>20</v>
      </c>
      <c r="B5" s="6" t="n">
        <v>9</v>
      </c>
      <c r="C5" s="6" t="n">
        <v>45</v>
      </c>
      <c r="D5" s="6" t="n">
        <v>82</v>
      </c>
      <c r="E5" s="7" t="n">
        <f aca="false">IF(OR(C5="",D5=""),"",D5-C5)</f>
        <v>37</v>
      </c>
    </row>
    <row r="6" customFormat="false" ht="15" hidden="false" customHeight="false" outlineLevel="0" collapsed="false">
      <c r="A6" s="6" t="s">
        <v>21</v>
      </c>
      <c r="B6" s="6" t="n">
        <v>8</v>
      </c>
      <c r="C6" s="6" t="n">
        <v>60</v>
      </c>
      <c r="D6" s="6" t="n">
        <v>85</v>
      </c>
      <c r="E6" s="7" t="n">
        <f aca="false">IF(OR(C6="",D6=""),"",D6-C6)</f>
        <v>25</v>
      </c>
    </row>
    <row r="7" customFormat="false" ht="15" hidden="false" customHeight="false" outlineLevel="0" collapsed="false">
      <c r="A7" s="6"/>
      <c r="B7" s="6"/>
      <c r="C7" s="6"/>
      <c r="D7" s="6"/>
      <c r="E7" s="7" t="str">
        <f aca="false">IF(OR(C7="",D7=""),"",D7-C7)</f>
        <v/>
      </c>
    </row>
    <row r="8" customFormat="false" ht="15" hidden="false" customHeight="false" outlineLevel="0" collapsed="false">
      <c r="A8" s="6"/>
      <c r="B8" s="6"/>
      <c r="C8" s="6"/>
      <c r="D8" s="6"/>
      <c r="E8" s="7" t="str">
        <f aca="false">IF(OR(C8="",D8=""),"",D8-C8)</f>
        <v/>
      </c>
    </row>
    <row r="9" customFormat="false" ht="15" hidden="false" customHeight="false" outlineLevel="0" collapsed="false">
      <c r="A9" s="6"/>
      <c r="B9" s="6"/>
      <c r="C9" s="6"/>
      <c r="D9" s="6"/>
      <c r="E9" s="7" t="str">
        <f aca="false">IF(OR(C9="",D9=""),"",D9-C9)</f>
        <v/>
      </c>
    </row>
    <row r="10" customFormat="false" ht="15" hidden="false" customHeight="false" outlineLevel="0" collapsed="false">
      <c r="A10" s="6"/>
      <c r="B10" s="6"/>
      <c r="C10" s="6"/>
      <c r="D10" s="6"/>
      <c r="E10" s="7" t="str">
        <f aca="false">IF(OR(C10="",D10=""),"",D10-C10)</f>
        <v/>
      </c>
    </row>
    <row r="11" customFormat="false" ht="15" hidden="false" customHeight="false" outlineLevel="0" collapsed="false">
      <c r="A11" s="6"/>
      <c r="B11" s="6"/>
      <c r="C11" s="6"/>
      <c r="D11" s="6"/>
      <c r="E11" s="7" t="str">
        <f aca="false">IF(OR(C11="",D11=""),"",D11-C11)</f>
        <v/>
      </c>
    </row>
    <row r="12" customFormat="false" ht="15" hidden="false" customHeight="false" outlineLevel="0" collapsed="false">
      <c r="A12" s="6"/>
      <c r="B12" s="6"/>
      <c r="C12" s="6"/>
      <c r="D12" s="6"/>
      <c r="E12" s="7" t="str">
        <f aca="false">IF(OR(C12="",D12=""),"",D12-C12)</f>
        <v/>
      </c>
    </row>
    <row r="13" customFormat="false" ht="15" hidden="false" customHeight="false" outlineLevel="0" collapsed="false">
      <c r="A13" s="6"/>
      <c r="B13" s="6"/>
      <c r="C13" s="6"/>
      <c r="D13" s="6"/>
      <c r="E13" s="7" t="str">
        <f aca="false">IF(OR(C13="",D13=""),"",D13-C13)</f>
        <v/>
      </c>
    </row>
    <row r="14" customFormat="false" ht="15" hidden="false" customHeight="false" outlineLevel="0" collapsed="false">
      <c r="A14" s="6"/>
      <c r="B14" s="6"/>
      <c r="C14" s="6"/>
      <c r="D14" s="6"/>
      <c r="E14" s="7" t="str">
        <f aca="false">IF(OR(C14="",D14=""),"",D14-C14)</f>
        <v/>
      </c>
    </row>
    <row r="15" customFormat="false" ht="15" hidden="false" customHeight="false" outlineLevel="0" collapsed="false">
      <c r="A15" s="6"/>
      <c r="B15" s="6"/>
      <c r="C15" s="6"/>
      <c r="D15" s="6"/>
      <c r="E15" s="7" t="str">
        <f aca="false">IF(OR(C15="",D15=""),"",D15-C15)</f>
        <v/>
      </c>
    </row>
    <row r="16" customFormat="false" ht="15" hidden="false" customHeight="false" outlineLevel="0" collapsed="false">
      <c r="A16" s="6"/>
      <c r="B16" s="6"/>
      <c r="C16" s="6"/>
      <c r="D16" s="6"/>
      <c r="E16" s="7" t="str">
        <f aca="false">IF(OR(C16="",D16=""),"",D16-C16)</f>
        <v/>
      </c>
    </row>
    <row r="17" customFormat="false" ht="15" hidden="false" customHeight="false" outlineLevel="0" collapsed="false">
      <c r="A17" s="6"/>
      <c r="B17" s="6"/>
      <c r="C17" s="6"/>
      <c r="D17" s="6"/>
      <c r="E17" s="7" t="str">
        <f aca="false">IF(OR(C17="",D17=""),"",D17-C17)</f>
        <v/>
      </c>
    </row>
    <row r="18" customFormat="false" ht="15" hidden="false" customHeight="false" outlineLevel="0" collapsed="false">
      <c r="A18" s="6"/>
      <c r="B18" s="6"/>
      <c r="C18" s="6"/>
      <c r="D18" s="6"/>
      <c r="E18" s="7" t="str">
        <f aca="false">IF(OR(C18="",D18=""),"",D18-C18)</f>
        <v/>
      </c>
    </row>
    <row r="19" customFormat="false" ht="15" hidden="false" customHeight="false" outlineLevel="0" collapsed="false">
      <c r="A19" s="6"/>
      <c r="B19" s="6"/>
      <c r="C19" s="6"/>
      <c r="D19" s="6"/>
      <c r="E19" s="7" t="str">
        <f aca="false">IF(OR(C19="",D19=""),"",D19-C19)</f>
        <v/>
      </c>
    </row>
    <row r="20" customFormat="false" ht="15" hidden="false" customHeight="false" outlineLevel="0" collapsed="false">
      <c r="A20" s="6"/>
      <c r="B20" s="6"/>
      <c r="C20" s="6"/>
      <c r="D20" s="6"/>
      <c r="E20" s="7" t="str">
        <f aca="false">IF(OR(C20="",D20=""),"",D20-C20)</f>
        <v/>
      </c>
    </row>
    <row r="21" customFormat="false" ht="15" hidden="false" customHeight="false" outlineLevel="0" collapsed="false">
      <c r="A21" s="6"/>
      <c r="B21" s="6"/>
      <c r="C21" s="6"/>
      <c r="D21" s="6"/>
      <c r="E21" s="7" t="str">
        <f aca="false">IF(OR(C21="",D21=""),"",D21-C21)</f>
        <v/>
      </c>
    </row>
    <row r="22" customFormat="false" ht="15" hidden="false" customHeight="false" outlineLevel="0" collapsed="false">
      <c r="A22" s="6"/>
      <c r="B22" s="6"/>
      <c r="C22" s="6"/>
      <c r="D22" s="6"/>
      <c r="E22" s="7" t="str">
        <f aca="false">IF(OR(C22="",D22=""),"",D22-C22)</f>
        <v/>
      </c>
    </row>
    <row r="23" customFormat="false" ht="15" hidden="false" customHeight="false" outlineLevel="0" collapsed="false">
      <c r="A23" s="6"/>
      <c r="B23" s="6"/>
      <c r="C23" s="6"/>
      <c r="D23" s="6"/>
      <c r="E23" s="7" t="str">
        <f aca="false">IF(OR(C23="",D23=""),"",D23-C23)</f>
        <v/>
      </c>
    </row>
    <row r="24" customFormat="false" ht="15" hidden="false" customHeight="false" outlineLevel="0" collapsed="false">
      <c r="A24" s="6"/>
      <c r="B24" s="6"/>
      <c r="C24" s="6"/>
      <c r="D24" s="6"/>
      <c r="E24" s="7" t="str">
        <f aca="false">IF(OR(C24="",D24=""),"",D24-C24)</f>
        <v/>
      </c>
    </row>
    <row r="25" customFormat="false" ht="15" hidden="false" customHeight="false" outlineLevel="0" collapsed="false">
      <c r="A25" s="6"/>
      <c r="B25" s="6"/>
      <c r="C25" s="6"/>
      <c r="D25" s="6"/>
      <c r="E25" s="7" t="str">
        <f aca="false">IF(OR(C25="",D25=""),"",D25-C25)</f>
        <v/>
      </c>
    </row>
    <row r="26" customFormat="false" ht="15" hidden="false" customHeight="false" outlineLevel="0" collapsed="false">
      <c r="A26" s="6"/>
      <c r="B26" s="6"/>
      <c r="C26" s="6"/>
      <c r="D26" s="6"/>
      <c r="E26" s="7" t="str">
        <f aca="false">IF(OR(C26="",D26=""),"",D26-C26)</f>
        <v/>
      </c>
    </row>
    <row r="27" customFormat="false" ht="15" hidden="false" customHeight="false" outlineLevel="0" collapsed="false">
      <c r="A27" s="6"/>
      <c r="B27" s="6"/>
      <c r="C27" s="6"/>
      <c r="D27" s="6"/>
      <c r="E27" s="7" t="str">
        <f aca="false">IF(OR(C27="",D27=""),"",D27-C27)</f>
        <v/>
      </c>
    </row>
    <row r="28" customFormat="false" ht="15" hidden="false" customHeight="false" outlineLevel="0" collapsed="false">
      <c r="A28" s="6"/>
      <c r="B28" s="6"/>
      <c r="C28" s="6"/>
      <c r="D28" s="6"/>
      <c r="E28" s="7" t="str">
        <f aca="false">IF(OR(C28="",D28=""),"",D28-C28)</f>
        <v/>
      </c>
    </row>
    <row r="29" customFormat="false" ht="15" hidden="false" customHeight="false" outlineLevel="0" collapsed="false">
      <c r="A29" s="6"/>
      <c r="B29" s="6"/>
      <c r="C29" s="6"/>
      <c r="D29" s="6"/>
      <c r="E29" s="7" t="str">
        <f aca="false">IF(OR(C29="",D29=""),"",D29-C29)</f>
        <v/>
      </c>
    </row>
    <row r="30" customFormat="false" ht="15" hidden="false" customHeight="false" outlineLevel="0" collapsed="false">
      <c r="A30" s="6"/>
      <c r="B30" s="6"/>
      <c r="C30" s="6"/>
      <c r="D30" s="6"/>
      <c r="E30" s="7" t="str">
        <f aca="false">IF(OR(C30="",D30=""),"",D30-C30)</f>
        <v/>
      </c>
    </row>
    <row r="31" customFormat="false" ht="15" hidden="false" customHeight="false" outlineLevel="0" collapsed="false">
      <c r="A31" s="6"/>
      <c r="B31" s="6"/>
      <c r="C31" s="6"/>
      <c r="D31" s="6"/>
      <c r="E31" s="7" t="str">
        <f aca="false">IF(OR(C31="",D31=""),"",D31-C31)</f>
        <v/>
      </c>
    </row>
    <row r="32" customFormat="false" ht="15" hidden="false" customHeight="false" outlineLevel="0" collapsed="false">
      <c r="A32" s="6"/>
      <c r="B32" s="6"/>
      <c r="C32" s="6"/>
      <c r="D32" s="6"/>
      <c r="E32" s="7" t="str">
        <f aca="false">IF(OR(C32="",D32=""),"",D32-C32)</f>
        <v/>
      </c>
    </row>
    <row r="33" customFormat="false" ht="15" hidden="false" customHeight="false" outlineLevel="0" collapsed="false">
      <c r="A33" s="6"/>
      <c r="B33" s="6"/>
      <c r="C33" s="6"/>
      <c r="D33" s="6"/>
      <c r="E33" s="7" t="str">
        <f aca="false">IF(OR(C33="",D33=""),"",D33-C33)</f>
        <v/>
      </c>
    </row>
    <row r="34" customFormat="false" ht="15" hidden="false" customHeight="false" outlineLevel="0" collapsed="false">
      <c r="A34" s="6"/>
      <c r="B34" s="6"/>
      <c r="C34" s="6"/>
      <c r="D34" s="6"/>
      <c r="E34" s="7" t="str">
        <f aca="false">IF(OR(C34="",D34=""),"",D34-C34)</f>
        <v/>
      </c>
    </row>
    <row r="37" customFormat="false" ht="15" hidden="false" customHeight="false" outlineLevel="0" collapsed="false">
      <c r="A37" s="5" t="s">
        <v>22</v>
      </c>
      <c r="B37" s="10" t="n">
        <f aca="false">IFERROR(AVERAGE(B5:B34),0)</f>
        <v>8.5</v>
      </c>
    </row>
    <row r="38" customFormat="false" ht="15" hidden="false" customHeight="false" outlineLevel="0" collapsed="false">
      <c r="A38" s="5" t="s">
        <v>23</v>
      </c>
      <c r="B38" s="10" t="n">
        <f aca="false">IFERROR(AVERAGE(C5:C34),0)</f>
        <v>52.5</v>
      </c>
    </row>
    <row r="39" customFormat="false" ht="15" hidden="false" customHeight="false" outlineLevel="0" collapsed="false">
      <c r="A39" s="5" t="s">
        <v>24</v>
      </c>
      <c r="B39" s="10" t="n">
        <f aca="false">IFERROR(AVERAGE(D5:D34),0)</f>
        <v>83.5</v>
      </c>
    </row>
    <row r="40" customFormat="false" ht="15" hidden="false" customHeight="false" outlineLevel="0" collapsed="false">
      <c r="A40" s="5" t="s">
        <v>25</v>
      </c>
      <c r="B40" s="10" t="n">
        <f aca="false">B39-B38</f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8" min="7" style="0" width="15"/>
    <col collapsed="false" customWidth="true" hidden="false" outlineLevel="0" max="9" min="9" style="0" width="17"/>
  </cols>
  <sheetData>
    <row r="1" customFormat="false" ht="19.7" hidden="false" customHeight="false" outlineLevel="0" collapsed="false">
      <c r="A1" s="1" t="s">
        <v>26</v>
      </c>
    </row>
    <row r="2" customFormat="false" ht="15" hidden="false" customHeight="false" outlineLevel="0" collapsed="false">
      <c r="A2" s="2" t="s">
        <v>27</v>
      </c>
    </row>
    <row r="4" customFormat="false" ht="33.75" hidden="false" customHeight="true" outlineLevel="0" collapsed="false">
      <c r="A4" s="9" t="s">
        <v>28</v>
      </c>
      <c r="B4" s="9" t="s">
        <v>29</v>
      </c>
      <c r="C4" s="9" t="s">
        <v>30</v>
      </c>
      <c r="D4" s="9" t="s">
        <v>31</v>
      </c>
      <c r="E4" s="9" t="s">
        <v>32</v>
      </c>
      <c r="F4" s="9" t="s">
        <v>33</v>
      </c>
      <c r="G4" s="9" t="s">
        <v>34</v>
      </c>
      <c r="H4" s="9" t="s">
        <v>35</v>
      </c>
      <c r="I4" s="9" t="s">
        <v>36</v>
      </c>
    </row>
    <row r="5" customFormat="false" ht="15" hidden="false" customHeight="false" outlineLevel="0" collapsed="false">
      <c r="A5" s="6" t="s">
        <v>37</v>
      </c>
      <c r="B5" s="6" t="s">
        <v>38</v>
      </c>
      <c r="C5" s="6" t="n">
        <v>6</v>
      </c>
      <c r="D5" s="6" t="n">
        <v>3.5</v>
      </c>
      <c r="E5" s="6" t="s">
        <v>39</v>
      </c>
      <c r="F5" s="11" t="n">
        <f aca="false">IF(OR(C5="",D5="",C5=0),"",IF(E5="No",(D5-C5)/C5,(C5-D5)/C5))</f>
        <v>0.416666666666667</v>
      </c>
      <c r="G5" s="6" t="n">
        <v>300</v>
      </c>
      <c r="H5" s="12" t="n">
        <v>25</v>
      </c>
      <c r="I5" s="13" t="n">
        <f aca="false">IF(OR(C5="",D5="",G5="",H5=""),"",IF(E5="No",D5-C5,C5-D5)*G5*H5)</f>
        <v>18750</v>
      </c>
    </row>
    <row r="6" customFormat="false" ht="15" hidden="false" customHeight="false" outlineLevel="0" collapsed="false">
      <c r="A6" s="6" t="s">
        <v>40</v>
      </c>
      <c r="B6" s="6" t="s">
        <v>41</v>
      </c>
      <c r="C6" s="6" t="n">
        <v>40</v>
      </c>
      <c r="D6" s="6" t="n">
        <v>28</v>
      </c>
      <c r="E6" s="6" t="s">
        <v>39</v>
      </c>
      <c r="F6" s="11" t="n">
        <f aca="false">IF(OR(C6="",D6="",C6=0),"",IF(E6="No",(D6-C6)/C6,(C6-D6)/C6))</f>
        <v>0.3</v>
      </c>
      <c r="G6" s="6" t="n">
        <v>12</v>
      </c>
      <c r="H6" s="12" t="n">
        <v>90</v>
      </c>
      <c r="I6" s="13" t="n">
        <f aca="false">IF(OR(C6="",D6="",G6="",H6=""),"",IF(E6="No",D6-C6,C6-D6)*G6*H6)</f>
        <v>12960</v>
      </c>
    </row>
    <row r="7" customFormat="false" ht="15" hidden="false" customHeight="false" outlineLevel="0" collapsed="false">
      <c r="A7" s="6"/>
      <c r="B7" s="6"/>
      <c r="C7" s="6"/>
      <c r="D7" s="6"/>
      <c r="E7" s="6"/>
      <c r="F7" s="11" t="str">
        <f aca="false">IF(OR(C7="",D7="",C7=0),"",IF(E7="No",(D7-C7)/C7,(C7-D7)/C7))</f>
        <v/>
      </c>
      <c r="G7" s="6"/>
      <c r="H7" s="12"/>
      <c r="I7" s="13" t="str">
        <f aca="false">IF(OR(C7="",D7="",G7="",H7=""),"",IF(E7="No",D7-C7,C7-D7)*G7*H7)</f>
        <v/>
      </c>
    </row>
    <row r="8" customFormat="false" ht="15" hidden="false" customHeight="false" outlineLevel="0" collapsed="false">
      <c r="A8" s="6"/>
      <c r="B8" s="6"/>
      <c r="C8" s="6"/>
      <c r="D8" s="6"/>
      <c r="E8" s="6"/>
      <c r="F8" s="11" t="str">
        <f aca="false">IF(OR(C8="",D8="",C8=0),"",IF(E8="No",(D8-C8)/C8,(C8-D8)/C8))</f>
        <v/>
      </c>
      <c r="G8" s="6"/>
      <c r="H8" s="12"/>
      <c r="I8" s="13" t="str">
        <f aca="false">IF(OR(C8="",D8="",G8="",H8=""),"",IF(E8="No",D8-C8,C8-D8)*G8*H8)</f>
        <v/>
      </c>
    </row>
    <row r="9" customFormat="false" ht="15" hidden="false" customHeight="false" outlineLevel="0" collapsed="false">
      <c r="A9" s="6"/>
      <c r="B9" s="6"/>
      <c r="C9" s="6"/>
      <c r="D9" s="6"/>
      <c r="E9" s="6"/>
      <c r="F9" s="11" t="str">
        <f aca="false">IF(OR(C9="",D9="",C9=0),"",IF(E9="No",(D9-C9)/C9,(C9-D9)/C9))</f>
        <v/>
      </c>
      <c r="G9" s="6"/>
      <c r="H9" s="12"/>
      <c r="I9" s="13" t="str">
        <f aca="false">IF(OR(C9="",D9="",G9="",H9=""),"",IF(E9="No",D9-C9,C9-D9)*G9*H9)</f>
        <v/>
      </c>
    </row>
    <row r="10" customFormat="false" ht="15" hidden="false" customHeight="false" outlineLevel="0" collapsed="false">
      <c r="A10" s="6"/>
      <c r="B10" s="6"/>
      <c r="C10" s="6"/>
      <c r="D10" s="6"/>
      <c r="E10" s="6"/>
      <c r="F10" s="11" t="str">
        <f aca="false">IF(OR(C10="",D10="",C10=0),"",IF(E10="No",(D10-C10)/C10,(C10-D10)/C10))</f>
        <v/>
      </c>
      <c r="G10" s="6"/>
      <c r="H10" s="12"/>
      <c r="I10" s="13" t="str">
        <f aca="false">IF(OR(C10="",D10="",G10="",H10=""),"",IF(E10="No",D10-C10,C10-D10)*G10*H10)</f>
        <v/>
      </c>
    </row>
    <row r="11" customFormat="false" ht="15" hidden="false" customHeight="false" outlineLevel="0" collapsed="false">
      <c r="A11" s="6"/>
      <c r="B11" s="6"/>
      <c r="C11" s="6"/>
      <c r="D11" s="6"/>
      <c r="E11" s="6"/>
      <c r="F11" s="11" t="str">
        <f aca="false">IF(OR(C11="",D11="",C11=0),"",IF(E11="No",(D11-C11)/C11,(C11-D11)/C11))</f>
        <v/>
      </c>
      <c r="G11" s="6"/>
      <c r="H11" s="12"/>
      <c r="I11" s="13" t="str">
        <f aca="false">IF(OR(C11="",D11="",G11="",H11=""),"",IF(E11="No",D11-C11,C11-D11)*G11*H11)</f>
        <v/>
      </c>
    </row>
    <row r="12" customFormat="false" ht="15" hidden="false" customHeight="false" outlineLevel="0" collapsed="false">
      <c r="A12" s="6"/>
      <c r="B12" s="6"/>
      <c r="C12" s="6"/>
      <c r="D12" s="6"/>
      <c r="E12" s="6"/>
      <c r="F12" s="11" t="str">
        <f aca="false">IF(OR(C12="",D12="",C12=0),"",IF(E12="No",(D12-C12)/C12,(C12-D12)/C12))</f>
        <v/>
      </c>
      <c r="G12" s="6"/>
      <c r="H12" s="12"/>
      <c r="I12" s="13" t="str">
        <f aca="false">IF(OR(C12="",D12="",G12="",H12=""),"",IF(E12="No",D12-C12,C12-D12)*G12*H12)</f>
        <v/>
      </c>
    </row>
    <row r="13" customFormat="false" ht="15" hidden="false" customHeight="false" outlineLevel="0" collapsed="false">
      <c r="A13" s="6"/>
      <c r="B13" s="6"/>
      <c r="C13" s="6"/>
      <c r="D13" s="6"/>
      <c r="E13" s="6"/>
      <c r="F13" s="11" t="str">
        <f aca="false">IF(OR(C13="",D13="",C13=0),"",IF(E13="No",(D13-C13)/C13,(C13-D13)/C13))</f>
        <v/>
      </c>
      <c r="G13" s="6"/>
      <c r="H13" s="12"/>
      <c r="I13" s="13" t="str">
        <f aca="false">IF(OR(C13="",D13="",G13="",H13=""),"",IF(E13="No",D13-C13,C13-D13)*G13*H13)</f>
        <v/>
      </c>
    </row>
    <row r="14" customFormat="false" ht="15" hidden="false" customHeight="false" outlineLevel="0" collapsed="false">
      <c r="A14" s="6"/>
      <c r="B14" s="6"/>
      <c r="C14" s="6"/>
      <c r="D14" s="6"/>
      <c r="E14" s="6"/>
      <c r="F14" s="11" t="str">
        <f aca="false">IF(OR(C14="",D14="",C14=0),"",IF(E14="No",(D14-C14)/C14,(C14-D14)/C14))</f>
        <v/>
      </c>
      <c r="G14" s="6"/>
      <c r="H14" s="12"/>
      <c r="I14" s="13" t="str">
        <f aca="false">IF(OR(C14="",D14="",G14="",H14=""),"",IF(E14="No",D14-C14,C14-D14)*G14*H14)</f>
        <v/>
      </c>
    </row>
    <row r="16" customFormat="false" ht="15" hidden="false" customHeight="false" outlineLevel="0" collapsed="false">
      <c r="A16" s="8" t="s">
        <v>42</v>
      </c>
    </row>
    <row r="18" customFormat="false" ht="15" hidden="false" customHeight="false" outlineLevel="0" collapsed="false">
      <c r="A18" s="5" t="s">
        <v>43</v>
      </c>
      <c r="I18" s="14" t="n">
        <f aca="false">SUM(I5:I14)</f>
        <v>31710</v>
      </c>
    </row>
  </sheetData>
  <dataValidations count="1">
    <dataValidation allowBlank="true" errorStyle="stop" operator="between" showDropDown="false" showErrorMessage="false" showInputMessage="false" sqref="E5:E14" type="list">
      <formula1>"Sí,No"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6"/>
    <col collapsed="false" customWidth="true" hidden="false" outlineLevel="0" max="3" min="3" style="0" width="60"/>
  </cols>
  <sheetData>
    <row r="1" customFormat="false" ht="19.7" hidden="false" customHeight="false" outlineLevel="0" collapsed="false">
      <c r="A1" s="1" t="s">
        <v>44</v>
      </c>
    </row>
    <row r="2" customFormat="false" ht="15" hidden="false" customHeight="false" outlineLevel="0" collapsed="false">
      <c r="A2" s="2"/>
    </row>
    <row r="4" customFormat="false" ht="15" hidden="false" customHeight="false" outlineLevel="0" collapsed="false">
      <c r="A4" s="15" t="s">
        <v>45</v>
      </c>
      <c r="B4" s="12" t="n">
        <v>6000</v>
      </c>
      <c r="C4" s="8"/>
    </row>
    <row r="5" customFormat="false" ht="15" hidden="false" customHeight="false" outlineLevel="0" collapsed="false">
      <c r="A5" s="15" t="s">
        <v>46</v>
      </c>
      <c r="B5" s="12" t="n">
        <v>3120</v>
      </c>
      <c r="C5" s="8" t="s">
        <v>47</v>
      </c>
    </row>
    <row r="6" customFormat="false" ht="15" hidden="false" customHeight="false" outlineLevel="0" collapsed="false">
      <c r="A6" s="15" t="s">
        <v>48</v>
      </c>
      <c r="B6" s="16" t="n">
        <v>12</v>
      </c>
      <c r="C6" s="8"/>
    </row>
    <row r="7" customFormat="false" ht="15" hidden="false" customHeight="false" outlineLevel="0" collapsed="false">
      <c r="A7" s="15" t="s">
        <v>49</v>
      </c>
      <c r="B7" s="16" t="n">
        <v>20</v>
      </c>
      <c r="C7" s="8"/>
    </row>
    <row r="8" customFormat="false" ht="15" hidden="false" customHeight="false" outlineLevel="0" collapsed="false">
      <c r="A8" s="15" t="s">
        <v>50</v>
      </c>
      <c r="B8" s="12" t="n">
        <v>18</v>
      </c>
      <c r="C8" s="8" t="s">
        <v>51</v>
      </c>
    </row>
    <row r="9" customFormat="false" ht="15" hidden="false" customHeight="false" outlineLevel="0" collapsed="false">
      <c r="A9" s="15" t="s">
        <v>52</v>
      </c>
      <c r="B9" s="14" t="n">
        <f aca="false">B6*B7*B8</f>
        <v>4320</v>
      </c>
      <c r="C9" s="8" t="s">
        <v>53</v>
      </c>
    </row>
    <row r="10" customFormat="false" ht="15" hidden="false" customHeight="false" outlineLevel="0" collapsed="false">
      <c r="A10" s="15" t="s">
        <v>54</v>
      </c>
      <c r="B10" s="14" t="n">
        <f aca="false">B4-B5+B9</f>
        <v>7200</v>
      </c>
      <c r="C10" s="8"/>
    </row>
    <row r="11" customFormat="false" ht="15" hidden="false" customHeight="false" outlineLevel="0" collapsed="false">
      <c r="A11" s="15" t="s">
        <v>36</v>
      </c>
      <c r="B11" s="14" t="n">
        <f aca="false">'Niveles 3-4'!I18</f>
        <v>31710</v>
      </c>
      <c r="C11" s="8" t="s">
        <v>55</v>
      </c>
    </row>
    <row r="12" customFormat="false" ht="15" hidden="false" customHeight="false" outlineLevel="0" collapsed="false">
      <c r="A12" s="15" t="s">
        <v>56</v>
      </c>
      <c r="B12" s="17" t="n">
        <f aca="false">IF(B10=0,0,(B11-B10)/B10)</f>
        <v>3.40416666666667</v>
      </c>
      <c r="C12" s="8" t="s">
        <v>57</v>
      </c>
    </row>
    <row r="13" customFormat="false" ht="15" hidden="false" customHeight="false" outlineLevel="0" collapsed="false">
      <c r="A13" s="15" t="s">
        <v>58</v>
      </c>
      <c r="B13" s="10" t="n">
        <f aca="false">IF(B11&lt;=0,"-",B10/(B11/12))</f>
        <v>2.72469252601703</v>
      </c>
      <c r="C13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2026-09-25T13:08:57Z</dcterms:created>
  <dc:creator>openpyxl</dc:creator>
  <dc:description/>
  <dc:language>en-US</dc:language>
  <cp:lastModifiedBy/>
  <dcterms:modified xsi:type="dcterms:W3CDTF">2026-09-25T13:08:57Z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
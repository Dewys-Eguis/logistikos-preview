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 empresa" sheetId="2" state="visible" r:id="rId4"/>
    <sheet name="Plan" sheetId="3" state="visible" r:id="rId5"/>
    <sheet name="Resumen ejecutiv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<sst xmlns="http://schemas.openxmlformats.org/spreadsheetml/2006/main" count="99" uniqueCount="87">
  <si>
    <t xml:space="preserve">KIT-02 · Plan anual de formación listo para dirección</t>
  </si>
  <si>
    <t xml:space="preserve">Kit RRHH · Logístikos · Formación in company en logística, compras, transporte y comercio exterior</t>
  </si>
  <si>
    <t xml:space="preserve">PARA QUÉ SIRVE</t>
  </si>
  <si>
    <t xml:space="preserve">Planifica todas las acciones del año, calcula cuánto bonifica cada una con el crédito FUNDAE y genera un resumen ejecutivo para el comité.</t>
  </si>
  <si>
    <t xml:space="preserve">CÓMO USARLO</t>
  </si>
  <si>
    <t xml:space="preserve">1. Rellena "Datos empresa": plantilla media, salario bruto medio y crédito ya consumido. El crédito es una estimación: el dato exacto está en la aplicación de FUNDAE.</t>
  </si>
  <si>
    <t xml:space="preserve">2. Añade una fila por acción formativa en "Plan". La hoja calcula el módulo bonificable, el máximo bonificable y el coste privado.</t>
  </si>
  <si>
    <t xml:space="preserve">3. "Resumen ejecutivo" consolida horas, participantes, consumo de crédito y reparto por departamento y modalidad.</t>
  </si>
  <si>
    <t xml:space="preserve">NOTA SOBRE MODALIDADES</t>
  </si>
  <si>
    <t xml:space="preserve">El aula virtual (Online Live) con interacción síncrona se bonifica con el módulo presencial. La teleformación tiene su propio módulo.</t>
  </si>
  <si>
    <t xml:space="preserve">Las filas 5 y 6 del Plan son ejemplos: sobrescríbelas o bórralas.</t>
  </si>
  <si>
    <t xml:space="preserve">Leyenda</t>
  </si>
  <si>
    <t xml:space="preserve">Celda a rellenar</t>
  </si>
  <si>
    <t xml:space="preserve">Fórmula (no editar)</t>
  </si>
  <si>
    <t xml:space="preserve">Plantilla orientativa. No sustituye el asesoramiento jurídico ni la normativa vigente de FUNDAE. ¿Dudas? formacion@logistikos.es · +34 696 34 80 47</t>
  </si>
  <si>
    <t xml:space="preserve">Datos de la empresa y parámetros FUNDAE</t>
  </si>
  <si>
    <t xml:space="preserve">Celdas amarillas: a rellenar</t>
  </si>
  <si>
    <t xml:space="preserve">Plantilla media del año anterior</t>
  </si>
  <si>
    <t xml:space="preserve">Salario bruto medio anual (€)</t>
  </si>
  <si>
    <t xml:space="preserve">Crédito ya consumido este año (€)</t>
  </si>
  <si>
    <t xml:space="preserve">Cuota de formación profesional (sobre base de cotización)</t>
  </si>
  <si>
    <t xml:space="preserve">0,60 % empresa + 0,10 % trabajador. Se usa el salario bruto como aproximación a la base de cotización.</t>
  </si>
  <si>
    <t xml:space="preserve">Porcentaje de bonificación del tramo</t>
  </si>
  <si>
    <t xml:space="preserve">Tramos: 1-9 personas 100 %; 10-49 75 %; 50-249 60 %; 250+ 50 %.</t>
  </si>
  <si>
    <t xml:space="preserve">Crédito anual estimado (€)</t>
  </si>
  <si>
    <t xml:space="preserve">Mínimo garantizado de 420 € para empresas de 1 a 5 personas.</t>
  </si>
  <si>
    <t xml:space="preserve">Crédito disponible (€)</t>
  </si>
  <si>
    <t xml:space="preserve">Cofinanciación privada mínima del tramo</t>
  </si>
  <si>
    <t xml:space="preserve">Tramos: 1-5 exenta; 6-9 5 %; 10-49 10 %; 50-249 20 %; 250+ 40 %. Puede cubrirse con costes salariales de los participantes.</t>
  </si>
  <si>
    <t xml:space="preserve">Módulo presencial / aula virtual · nivel básico (€/participante/hora)</t>
  </si>
  <si>
    <t xml:space="preserve">Módulos económicos máximos de la formación programada por las empresas (fuente: FUNDAE). Revisar si cambia la normativa.</t>
  </si>
  <si>
    <t xml:space="preserve">Módulo presencial / aula virtual · nivel superior (€/participante/hora)</t>
  </si>
  <si>
    <t xml:space="preserve">Módulo teleformación (€/participante/hora)</t>
  </si>
  <si>
    <t xml:space="preserve">Plan anual de formación</t>
  </si>
  <si>
    <t xml:space="preserve">Una fila por acción formativa y grupo tipo</t>
  </si>
  <si>
    <t xml:space="preserve">Nº</t>
  </si>
  <si>
    <t xml:space="preserve">Acción formativa</t>
  </si>
  <si>
    <t xml:space="preserve">Departamento</t>
  </si>
  <si>
    <t xml:space="preserve">Modalidad</t>
  </si>
  <si>
    <t xml:space="preserve">Nivel</t>
  </si>
  <si>
    <t xml:space="preserve">Horas por participante</t>
  </si>
  <si>
    <t xml:space="preserve">Participantes por grupo</t>
  </si>
  <si>
    <t xml:space="preserve">Nº de grupos</t>
  </si>
  <si>
    <t xml:space="preserve">Total participantes</t>
  </si>
  <si>
    <t xml:space="preserve">Mes de inicio</t>
  </si>
  <si>
    <t xml:space="preserve">Turno</t>
  </si>
  <si>
    <t xml:space="preserve">Módulo (€/h)</t>
  </si>
  <si>
    <t xml:space="preserve">Máximo bonificable (€)</t>
  </si>
  <si>
    <t xml:space="preserve">Coste previsto (€)</t>
  </si>
  <si>
    <t xml:space="preserve">Bonificación aplicable (€)</t>
  </si>
  <si>
    <t xml:space="preserve">Coste privado (€)</t>
  </si>
  <si>
    <t xml:space="preserve">Horas de formación totales</t>
  </si>
  <si>
    <t xml:space="preserve">Control tower y KPIs con Power BI</t>
  </si>
  <si>
    <t xml:space="preserve">Planificación</t>
  </si>
  <si>
    <t xml:space="preserve">Híbrida</t>
  </si>
  <si>
    <t xml:space="preserve">Superior</t>
  </si>
  <si>
    <t xml:space="preserve">Febrero</t>
  </si>
  <si>
    <t xml:space="preserve">Mañana</t>
  </si>
  <si>
    <t xml:space="preserve">Productividad en picking y cero errores</t>
  </si>
  <si>
    <t xml:space="preserve">Almacén</t>
  </si>
  <si>
    <t xml:space="preserve">Presencial</t>
  </si>
  <si>
    <t xml:space="preserve">Básico</t>
  </si>
  <si>
    <t xml:space="preserve">Marzo</t>
  </si>
  <si>
    <t xml:space="preserve">Todos</t>
  </si>
  <si>
    <t xml:space="preserve">El coste previsto es el precio del proveedor. La bonificación aplicable no puede superar el máximo por módulos ni, en conjunto, el crédito disponible (ver Resumen ejecutivo).</t>
  </si>
  <si>
    <t xml:space="preserve">Resumen ejecutivo del plan</t>
  </si>
  <si>
    <t xml:space="preserve">Para presentar al comité de dirección</t>
  </si>
  <si>
    <t xml:space="preserve">Acciones formativas</t>
  </si>
  <si>
    <t xml:space="preserve">Participantes (plazas)</t>
  </si>
  <si>
    <t xml:space="preserve">Coste previsto total (€)</t>
  </si>
  <si>
    <t xml:space="preserve">Bonificación aplicable por módulos (€)</t>
  </si>
  <si>
    <t xml:space="preserve">Bonificación efectiva limitada al crédito (€)</t>
  </si>
  <si>
    <t xml:space="preserve">Coste neto para la empresa (€)</t>
  </si>
  <si>
    <t xml:space="preserve">Consumo del crédito disponible</t>
  </si>
  <si>
    <t xml:space="preserve">Crédito que quedaría sin usar (€)</t>
  </si>
  <si>
    <t xml:space="preserve">Por departamento</t>
  </si>
  <si>
    <t xml:space="preserve">Acciones</t>
  </si>
  <si>
    <t xml:space="preserve">Participantes</t>
  </si>
  <si>
    <t xml:space="preserve">Horas totales</t>
  </si>
  <si>
    <t xml:space="preserve">Bonificación (€)</t>
  </si>
  <si>
    <t xml:space="preserve">Tráfico y transporte</t>
  </si>
  <si>
    <t xml:space="preserve">Compras</t>
  </si>
  <si>
    <t xml:space="preserve">Comercio exterior</t>
  </si>
  <si>
    <t xml:space="preserve">Mandos y dirección</t>
  </si>
  <si>
    <t xml:space="preserve">Por modalidad</t>
  </si>
  <si>
    <t xml:space="preserve">Online Live</t>
  </si>
  <si>
    <t xml:space="preserve">Teleformación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</si>
</sst>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-#,##0&quot; €&quot;;\-"/>
    <numFmt numFmtId="166" formatCode="0.00%"/>
    <numFmt numFmtId="167" formatCode="0%;\-0%;\-"/>
    <numFmt numFmtId="168" formatCode="0.00&quot; €&quot;"/>
    <numFmt numFmtId="169" formatCode="#,##0"/>
    <numFmt numFmtId="170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0C1B"/>
      <name val="Arial"/>
      <family val="0"/>
      <charset val="1"/>
    </font>
    <font>
      <i val="true"/>
      <sz val="10"/>
      <color rgb="FF5556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6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C2"/>
        <bgColor rgb="FFFFFF99"/>
      </patternFill>
    </fill>
    <fill>
      <patternFill patternType="solid">
        <fgColor rgb="FF0A0C1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2"/>
      <rgbColor rgb="FFCCFFFF"/>
      <rgbColor rgb="FF660066"/>
      <rgbColor rgb="FFFF8080"/>
      <rgbColor rgb="FF0066CC"/>
      <rgbColor rgb="FFD9D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65F"/>
      <rgbColor rgb="FF969696"/>
      <rgbColor rgb="FF003366"/>
      <rgbColor rgb="FF339966"/>
      <rgbColor rgb="FF0A0C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6" t="s">
        <v>12</v>
      </c>
    </row>
    <row r="16" customFormat="false" ht="15" hidden="false" customHeight="false" outlineLevel="0" collapsed="false">
      <c r="A16" s="7" t="s">
        <v>13</v>
      </c>
    </row>
    <row r="18" customFormat="false" ht="15" hidden="false" customHeight="false" outlineLevel="0" collapsed="false">
      <c r="A18" s="8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false" outlineLevel="0" collapsed="false">
      <c r="A4" s="9" t="s">
        <v>17</v>
      </c>
      <c r="B4" s="6" t="n">
        <v>80</v>
      </c>
    </row>
    <row r="5" customFormat="false" ht="15" hidden="false" customHeight="false" outlineLevel="0" collapsed="false">
      <c r="A5" s="9" t="s">
        <v>18</v>
      </c>
      <c r="B5" s="10" t="n">
        <v>28000</v>
      </c>
    </row>
    <row r="6" customFormat="false" ht="15" hidden="false" customHeight="false" outlineLevel="0" collapsed="false">
      <c r="A6" s="9" t="s">
        <v>19</v>
      </c>
      <c r="B6" s="10" t="n">
        <v>0</v>
      </c>
    </row>
    <row r="8" customFormat="false" ht="15" hidden="false" customHeight="false" outlineLevel="0" collapsed="false">
      <c r="A8" s="9" t="s">
        <v>20</v>
      </c>
      <c r="B8" s="11" t="n">
        <v>0.007</v>
      </c>
      <c r="C8" s="8" t="s">
        <v>21</v>
      </c>
    </row>
    <row r="9" customFormat="false" ht="15" hidden="false" customHeight="false" outlineLevel="0" collapsed="false">
      <c r="A9" s="9" t="s">
        <v>22</v>
      </c>
      <c r="B9" s="12" t="n">
        <f aca="false">IF(B4&lt;=9,1,IF(B4&lt;=49,0.75,IF(B4&lt;=249,0.6,0.5)))</f>
        <v>0.6</v>
      </c>
      <c r="C9" s="8" t="s">
        <v>23</v>
      </c>
    </row>
    <row r="10" customFormat="false" ht="15" hidden="false" customHeight="false" outlineLevel="0" collapsed="false">
      <c r="A10" s="9" t="s">
        <v>24</v>
      </c>
      <c r="B10" s="13" t="n">
        <f aca="false">MAX(B4*B5*B8*B9,IF(B4&lt;=5,420,0))</f>
        <v>9408</v>
      </c>
      <c r="C10" s="8" t="s">
        <v>25</v>
      </c>
    </row>
    <row r="11" customFormat="false" ht="15" hidden="false" customHeight="false" outlineLevel="0" collapsed="false">
      <c r="A11" s="9" t="s">
        <v>26</v>
      </c>
      <c r="B11" s="13" t="n">
        <f aca="false">MAX(0,B10-B6)</f>
        <v>9408</v>
      </c>
    </row>
    <row r="12" customFormat="false" ht="15" hidden="false" customHeight="false" outlineLevel="0" collapsed="false">
      <c r="A12" s="9" t="s">
        <v>27</v>
      </c>
      <c r="B12" s="12" t="n">
        <f aca="false">IF(B4&lt;=5,0,IF(B4&lt;=9,0.05,IF(B4&lt;=49,0.1,IF(B4&lt;=249,0.2,0.4))))</f>
        <v>0.2</v>
      </c>
      <c r="C12" s="8" t="s">
        <v>28</v>
      </c>
    </row>
    <row r="14" customFormat="false" ht="15" hidden="false" customHeight="false" outlineLevel="0" collapsed="false">
      <c r="A14" s="9" t="s">
        <v>29</v>
      </c>
      <c r="B14" s="14" t="n">
        <v>9</v>
      </c>
      <c r="C14" s="8" t="s">
        <v>30</v>
      </c>
    </row>
    <row r="15" customFormat="false" ht="15" hidden="false" customHeight="false" outlineLevel="0" collapsed="false">
      <c r="A15" s="9" t="s">
        <v>31</v>
      </c>
      <c r="B15" s="14" t="n">
        <v>13</v>
      </c>
    </row>
    <row r="16" customFormat="false" ht="15" hidden="false" customHeight="false" outlineLevel="0" collapsed="false">
      <c r="A16" s="9" t="s">
        <v>32</v>
      </c>
      <c r="B16" s="14" t="n">
        <v>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7" min="16" style="0" width="13"/>
  </cols>
  <sheetData>
    <row r="1" customFormat="false" ht="19.7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33.75" hidden="false" customHeight="true" outlineLevel="0" collapsed="false">
      <c r="A4" s="15" t="s">
        <v>35</v>
      </c>
      <c r="B4" s="15" t="s">
        <v>36</v>
      </c>
      <c r="C4" s="15" t="s">
        <v>37</v>
      </c>
      <c r="D4" s="15" t="s">
        <v>38</v>
      </c>
      <c r="E4" s="15" t="s">
        <v>39</v>
      </c>
      <c r="F4" s="15" t="s">
        <v>40</v>
      </c>
      <c r="G4" s="15" t="s">
        <v>41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5" t="s">
        <v>49</v>
      </c>
      <c r="P4" s="15" t="s">
        <v>50</v>
      </c>
      <c r="Q4" s="15" t="s">
        <v>51</v>
      </c>
    </row>
    <row r="5" customFormat="false" ht="15" hidden="false" customHeight="false" outlineLevel="0" collapsed="false">
      <c r="A5" s="7" t="n">
        <v>1</v>
      </c>
      <c r="B5" s="6" t="s">
        <v>52</v>
      </c>
      <c r="C5" s="6" t="s">
        <v>53</v>
      </c>
      <c r="D5" s="6" t="s">
        <v>54</v>
      </c>
      <c r="E5" s="6" t="s">
        <v>55</v>
      </c>
      <c r="F5" s="6" t="n">
        <v>20</v>
      </c>
      <c r="G5" s="6" t="n">
        <v>12</v>
      </c>
      <c r="H5" s="6" t="n">
        <v>1</v>
      </c>
      <c r="I5" s="7" t="n">
        <f aca="false">IF(OR(G5="",H5=""),"",G5*H5)</f>
        <v>12</v>
      </c>
      <c r="J5" s="6" t="s">
        <v>56</v>
      </c>
      <c r="K5" s="6" t="s">
        <v>57</v>
      </c>
      <c r="L5" s="16" t="n">
        <f aca="false">IF(D5="","",IF(D5="Teleformación",'Datos empresa'!$B$16,IF(E5="Básico",'Datos empresa'!$B$14,'Datos empresa'!$B$15)))</f>
        <v>13</v>
      </c>
      <c r="M5" s="17" t="n">
        <f aca="false">IF(OR(I5="",F5="",L5=""),"",I5*F5*L5)</f>
        <v>3120</v>
      </c>
      <c r="N5" s="10" t="n">
        <v>3200</v>
      </c>
      <c r="O5" s="17" t="n">
        <f aca="false">IF(OR(M5="",N5=""),"",MIN(M5,N5))</f>
        <v>3120</v>
      </c>
      <c r="P5" s="17" t="n">
        <f aca="false">IF(O5="","",N5-O5)</f>
        <v>80</v>
      </c>
      <c r="Q5" s="18" t="n">
        <f aca="false">IF(OR(I5="",F5=""),"",I5*F5)</f>
        <v>240</v>
      </c>
    </row>
    <row r="6" customFormat="false" ht="15" hidden="false" customHeight="false" outlineLevel="0" collapsed="false">
      <c r="A6" s="7" t="n">
        <v>2</v>
      </c>
      <c r="B6" s="6" t="s">
        <v>58</v>
      </c>
      <c r="C6" s="6" t="s">
        <v>59</v>
      </c>
      <c r="D6" s="6" t="s">
        <v>60</v>
      </c>
      <c r="E6" s="6" t="s">
        <v>61</v>
      </c>
      <c r="F6" s="6" t="n">
        <v>12</v>
      </c>
      <c r="G6" s="6" t="n">
        <v>10</v>
      </c>
      <c r="H6" s="6" t="n">
        <v>2</v>
      </c>
      <c r="I6" s="7" t="n">
        <f aca="false">IF(OR(G6="",H6=""),"",G6*H6)</f>
        <v>20</v>
      </c>
      <c r="J6" s="6" t="s">
        <v>62</v>
      </c>
      <c r="K6" s="6" t="s">
        <v>63</v>
      </c>
      <c r="L6" s="16" t="n">
        <f aca="false">IF(D6="","",IF(D6="Teleformación",'Datos empresa'!$B$16,IF(E6="Básico",'Datos empresa'!$B$14,'Datos empresa'!$B$15)))</f>
        <v>9</v>
      </c>
      <c r="M6" s="17" t="n">
        <f aca="false">IF(OR(I6="",F6="",L6=""),"",I6*F6*L6)</f>
        <v>2160</v>
      </c>
      <c r="N6" s="10" t="n">
        <v>2400</v>
      </c>
      <c r="O6" s="17" t="n">
        <f aca="false">IF(OR(M6="",N6=""),"",MIN(M6,N6))</f>
        <v>2160</v>
      </c>
      <c r="P6" s="17" t="n">
        <f aca="false">IF(O6="","",N6-O6)</f>
        <v>240</v>
      </c>
      <c r="Q6" s="18" t="n">
        <f aca="false">IF(OR(I6="",F6=""),"",I6*F6)</f>
        <v>240</v>
      </c>
    </row>
    <row r="7" customFormat="false" ht="15" hidden="false" customHeight="false" outlineLevel="0" collapsed="false">
      <c r="A7" s="7" t="n">
        <v>3</v>
      </c>
      <c r="B7" s="6"/>
      <c r="C7" s="6"/>
      <c r="D7" s="6"/>
      <c r="E7" s="6"/>
      <c r="F7" s="6"/>
      <c r="G7" s="6"/>
      <c r="H7" s="6"/>
      <c r="I7" s="7" t="str">
        <f aca="false">IF(OR(G7="",H7=""),"",G7*H7)</f>
        <v/>
      </c>
      <c r="J7" s="6"/>
      <c r="K7" s="6"/>
      <c r="L7" s="16" t="str">
        <f aca="false">IF(D7="","",IF(D7="Teleformación",'Datos empresa'!$B$16,IF(E7="Básico",'Datos empresa'!$B$14,'Datos empresa'!$B$15)))</f>
        <v/>
      </c>
      <c r="M7" s="17" t="str">
        <f aca="false">IF(OR(I7="",F7="",L7=""),"",I7*F7*L7)</f>
        <v/>
      </c>
      <c r="N7" s="10"/>
      <c r="O7" s="17" t="str">
        <f aca="false">IF(OR(M7="",N7=""),"",MIN(M7,N7))</f>
        <v/>
      </c>
      <c r="P7" s="17" t="str">
        <f aca="false">IF(O7="","",N7-O7)</f>
        <v/>
      </c>
      <c r="Q7" s="18" t="str">
        <f aca="false">IF(OR(I7="",F7=""),"",I7*F7)</f>
        <v/>
      </c>
    </row>
    <row r="8" customFormat="false" ht="15" hidden="false" customHeight="false" outlineLevel="0" collapsed="false">
      <c r="A8" s="7" t="n">
        <v>4</v>
      </c>
      <c r="B8" s="6"/>
      <c r="C8" s="6"/>
      <c r="D8" s="6"/>
      <c r="E8" s="6"/>
      <c r="F8" s="6"/>
      <c r="G8" s="6"/>
      <c r="H8" s="6"/>
      <c r="I8" s="7" t="str">
        <f aca="false">IF(OR(G8="",H8=""),"",G8*H8)</f>
        <v/>
      </c>
      <c r="J8" s="6"/>
      <c r="K8" s="6"/>
      <c r="L8" s="16" t="str">
        <f aca="false">IF(D8="","",IF(D8="Teleformación",'Datos empresa'!$B$16,IF(E8="Básico",'Datos empresa'!$B$14,'Datos empresa'!$B$15)))</f>
        <v/>
      </c>
      <c r="M8" s="17" t="str">
        <f aca="false">IF(OR(I8="",F8="",L8=""),"",I8*F8*L8)</f>
        <v/>
      </c>
      <c r="N8" s="10"/>
      <c r="O8" s="17" t="str">
        <f aca="false">IF(OR(M8="",N8=""),"",MIN(M8,N8))</f>
        <v/>
      </c>
      <c r="P8" s="17" t="str">
        <f aca="false">IF(O8="","",N8-O8)</f>
        <v/>
      </c>
      <c r="Q8" s="18" t="str">
        <f aca="false">IF(OR(I8="",F8=""),"",I8*F8)</f>
        <v/>
      </c>
    </row>
    <row r="9" customFormat="false" ht="15" hidden="false" customHeight="false" outlineLevel="0" collapsed="false">
      <c r="A9" s="7" t="n">
        <v>5</v>
      </c>
      <c r="B9" s="6"/>
      <c r="C9" s="6"/>
      <c r="D9" s="6"/>
      <c r="E9" s="6"/>
      <c r="F9" s="6"/>
      <c r="G9" s="6"/>
      <c r="H9" s="6"/>
      <c r="I9" s="7" t="str">
        <f aca="false">IF(OR(G9="",H9=""),"",G9*H9)</f>
        <v/>
      </c>
      <c r="J9" s="6"/>
      <c r="K9" s="6"/>
      <c r="L9" s="16" t="str">
        <f aca="false">IF(D9="","",IF(D9="Teleformación",'Datos empresa'!$B$16,IF(E9="Básico",'Datos empresa'!$B$14,'Datos empresa'!$B$15)))</f>
        <v/>
      </c>
      <c r="M9" s="17" t="str">
        <f aca="false">IF(OR(I9="",F9="",L9=""),"",I9*F9*L9)</f>
        <v/>
      </c>
      <c r="N9" s="10"/>
      <c r="O9" s="17" t="str">
        <f aca="false">IF(OR(M9="",N9=""),"",MIN(M9,N9))</f>
        <v/>
      </c>
      <c r="P9" s="17" t="str">
        <f aca="false">IF(O9="","",N9-O9)</f>
        <v/>
      </c>
      <c r="Q9" s="18" t="str">
        <f aca="false">IF(OR(I9="",F9=""),"",I9*F9)</f>
        <v/>
      </c>
    </row>
    <row r="10" customFormat="false" ht="15" hidden="false" customHeight="false" outlineLevel="0" collapsed="false">
      <c r="A10" s="7" t="n">
        <v>6</v>
      </c>
      <c r="B10" s="6"/>
      <c r="C10" s="6"/>
      <c r="D10" s="6"/>
      <c r="E10" s="6"/>
      <c r="F10" s="6"/>
      <c r="G10" s="6"/>
      <c r="H10" s="6"/>
      <c r="I10" s="7" t="str">
        <f aca="false">IF(OR(G10="",H10=""),"",G10*H10)</f>
        <v/>
      </c>
      <c r="J10" s="6"/>
      <c r="K10" s="6"/>
      <c r="L10" s="16" t="str">
        <f aca="false">IF(D10="","",IF(D10="Teleformación",'Datos empresa'!$B$16,IF(E10="Básico",'Datos empresa'!$B$14,'Datos empresa'!$B$15)))</f>
        <v/>
      </c>
      <c r="M10" s="17" t="str">
        <f aca="false">IF(OR(I10="",F10="",L10=""),"",I10*F10*L10)</f>
        <v/>
      </c>
      <c r="N10" s="10"/>
      <c r="O10" s="17" t="str">
        <f aca="false">IF(OR(M10="",N10=""),"",MIN(M10,N10))</f>
        <v/>
      </c>
      <c r="P10" s="17" t="str">
        <f aca="false">IF(O10="","",N10-O10)</f>
        <v/>
      </c>
      <c r="Q10" s="18" t="str">
        <f aca="false">IF(OR(I10="",F10=""),"",I10*F10)</f>
        <v/>
      </c>
    </row>
    <row r="11" customFormat="false" ht="15" hidden="false" customHeight="false" outlineLevel="0" collapsed="false">
      <c r="A11" s="7" t="n">
        <v>7</v>
      </c>
      <c r="B11" s="6"/>
      <c r="C11" s="6"/>
      <c r="D11" s="6"/>
      <c r="E11" s="6"/>
      <c r="F11" s="6"/>
      <c r="G11" s="6"/>
      <c r="H11" s="6"/>
      <c r="I11" s="7" t="str">
        <f aca="false">IF(OR(G11="",H11=""),"",G11*H11)</f>
        <v/>
      </c>
      <c r="J11" s="6"/>
      <c r="K11" s="6"/>
      <c r="L11" s="16" t="str">
        <f aca="false">IF(D11="","",IF(D11="Teleformación",'Datos empresa'!$B$16,IF(E11="Básico",'Datos empresa'!$B$14,'Datos empresa'!$B$15)))</f>
        <v/>
      </c>
      <c r="M11" s="17" t="str">
        <f aca="false">IF(OR(I11="",F11="",L11=""),"",I11*F11*L11)</f>
        <v/>
      </c>
      <c r="N11" s="10"/>
      <c r="O11" s="17" t="str">
        <f aca="false">IF(OR(M11="",N11=""),"",MIN(M11,N11))</f>
        <v/>
      </c>
      <c r="P11" s="17" t="str">
        <f aca="false">IF(O11="","",N11-O11)</f>
        <v/>
      </c>
      <c r="Q11" s="18" t="str">
        <f aca="false">IF(OR(I11="",F11=""),"",I11*F11)</f>
        <v/>
      </c>
    </row>
    <row r="12" customFormat="false" ht="15" hidden="false" customHeight="false" outlineLevel="0" collapsed="false">
      <c r="A12" s="7" t="n">
        <v>8</v>
      </c>
      <c r="B12" s="6"/>
      <c r="C12" s="6"/>
      <c r="D12" s="6"/>
      <c r="E12" s="6"/>
      <c r="F12" s="6"/>
      <c r="G12" s="6"/>
      <c r="H12" s="6"/>
      <c r="I12" s="7" t="str">
        <f aca="false">IF(OR(G12="",H12=""),"",G12*H12)</f>
        <v/>
      </c>
      <c r="J12" s="6"/>
      <c r="K12" s="6"/>
      <c r="L12" s="16" t="str">
        <f aca="false">IF(D12="","",IF(D12="Teleformación",'Datos empresa'!$B$16,IF(E12="Básico",'Datos empresa'!$B$14,'Datos empresa'!$B$15)))</f>
        <v/>
      </c>
      <c r="M12" s="17" t="str">
        <f aca="false">IF(OR(I12="",F12="",L12=""),"",I12*F12*L12)</f>
        <v/>
      </c>
      <c r="N12" s="10"/>
      <c r="O12" s="17" t="str">
        <f aca="false">IF(OR(M12="",N12=""),"",MIN(M12,N12))</f>
        <v/>
      </c>
      <c r="P12" s="17" t="str">
        <f aca="false">IF(O12="","",N12-O12)</f>
        <v/>
      </c>
      <c r="Q12" s="18" t="str">
        <f aca="false">IF(OR(I12="",F12=""),"",I12*F12)</f>
        <v/>
      </c>
    </row>
    <row r="13" customFormat="false" ht="15" hidden="false" customHeight="false" outlineLevel="0" collapsed="false">
      <c r="A13" s="7" t="n">
        <v>9</v>
      </c>
      <c r="B13" s="6"/>
      <c r="C13" s="6"/>
      <c r="D13" s="6"/>
      <c r="E13" s="6"/>
      <c r="F13" s="6"/>
      <c r="G13" s="6"/>
      <c r="H13" s="6"/>
      <c r="I13" s="7" t="str">
        <f aca="false">IF(OR(G13="",H13=""),"",G13*H13)</f>
        <v/>
      </c>
      <c r="J13" s="6"/>
      <c r="K13" s="6"/>
      <c r="L13" s="16" t="str">
        <f aca="false">IF(D13="","",IF(D13="Teleformación",'Datos empresa'!$B$16,IF(E13="Básico",'Datos empresa'!$B$14,'Datos empresa'!$B$15)))</f>
        <v/>
      </c>
      <c r="M13" s="17" t="str">
        <f aca="false">IF(OR(I13="",F13="",L13=""),"",I13*F13*L13)</f>
        <v/>
      </c>
      <c r="N13" s="10"/>
      <c r="O13" s="17" t="str">
        <f aca="false">IF(OR(M13="",N13=""),"",MIN(M13,N13))</f>
        <v/>
      </c>
      <c r="P13" s="17" t="str">
        <f aca="false">IF(O13="","",N13-O13)</f>
        <v/>
      </c>
      <c r="Q13" s="18" t="str">
        <f aca="false">IF(OR(I13="",F13=""),"",I13*F13)</f>
        <v/>
      </c>
    </row>
    <row r="14" customFormat="false" ht="15" hidden="false" customHeight="false" outlineLevel="0" collapsed="false">
      <c r="A14" s="7" t="n">
        <v>10</v>
      </c>
      <c r="B14" s="6"/>
      <c r="C14" s="6"/>
      <c r="D14" s="6"/>
      <c r="E14" s="6"/>
      <c r="F14" s="6"/>
      <c r="G14" s="6"/>
      <c r="H14" s="6"/>
      <c r="I14" s="7" t="str">
        <f aca="false">IF(OR(G14="",H14=""),"",G14*H14)</f>
        <v/>
      </c>
      <c r="J14" s="6"/>
      <c r="K14" s="6"/>
      <c r="L14" s="16" t="str">
        <f aca="false">IF(D14="","",IF(D14="Teleformación",'Datos empresa'!$B$16,IF(E14="Básico",'Datos empresa'!$B$14,'Datos empresa'!$B$15)))</f>
        <v/>
      </c>
      <c r="M14" s="17" t="str">
        <f aca="false">IF(OR(I14="",F14="",L14=""),"",I14*F14*L14)</f>
        <v/>
      </c>
      <c r="N14" s="10"/>
      <c r="O14" s="17" t="str">
        <f aca="false">IF(OR(M14="",N14=""),"",MIN(M14,N14))</f>
        <v/>
      </c>
      <c r="P14" s="17" t="str">
        <f aca="false">IF(O14="","",N14-O14)</f>
        <v/>
      </c>
      <c r="Q14" s="18" t="str">
        <f aca="false">IF(OR(I14="",F14=""),"",I14*F14)</f>
        <v/>
      </c>
    </row>
    <row r="15" customFormat="false" ht="15" hidden="false" customHeight="false" outlineLevel="0" collapsed="false">
      <c r="A15" s="7" t="n">
        <v>11</v>
      </c>
      <c r="B15" s="6"/>
      <c r="C15" s="6"/>
      <c r="D15" s="6"/>
      <c r="E15" s="6"/>
      <c r="F15" s="6"/>
      <c r="G15" s="6"/>
      <c r="H15" s="6"/>
      <c r="I15" s="7" t="str">
        <f aca="false">IF(OR(G15="",H15=""),"",G15*H15)</f>
        <v/>
      </c>
      <c r="J15" s="6"/>
      <c r="K15" s="6"/>
      <c r="L15" s="16" t="str">
        <f aca="false">IF(D15="","",IF(D15="Teleformación",'Datos empresa'!$B$16,IF(E15="Básico",'Datos empresa'!$B$14,'Datos empresa'!$B$15)))</f>
        <v/>
      </c>
      <c r="M15" s="17" t="str">
        <f aca="false">IF(OR(I15="",F15="",L15=""),"",I15*F15*L15)</f>
        <v/>
      </c>
      <c r="N15" s="10"/>
      <c r="O15" s="17" t="str">
        <f aca="false">IF(OR(M15="",N15=""),"",MIN(M15,N15))</f>
        <v/>
      </c>
      <c r="P15" s="17" t="str">
        <f aca="false">IF(O15="","",N15-O15)</f>
        <v/>
      </c>
      <c r="Q15" s="18" t="str">
        <f aca="false">IF(OR(I15="",F15=""),"",I15*F15)</f>
        <v/>
      </c>
    </row>
    <row r="16" customFormat="false" ht="15" hidden="false" customHeight="false" outlineLevel="0" collapsed="false">
      <c r="A16" s="7" t="n">
        <v>12</v>
      </c>
      <c r="B16" s="6"/>
      <c r="C16" s="6"/>
      <c r="D16" s="6"/>
      <c r="E16" s="6"/>
      <c r="F16" s="6"/>
      <c r="G16" s="6"/>
      <c r="H16" s="6"/>
      <c r="I16" s="7" t="str">
        <f aca="false">IF(OR(G16="",H16=""),"",G16*H16)</f>
        <v/>
      </c>
      <c r="J16" s="6"/>
      <c r="K16" s="6"/>
      <c r="L16" s="16" t="str">
        <f aca="false">IF(D16="","",IF(D16="Teleformación",'Datos empresa'!$B$16,IF(E16="Básico",'Datos empresa'!$B$14,'Datos empresa'!$B$15)))</f>
        <v/>
      </c>
      <c r="M16" s="17" t="str">
        <f aca="false">IF(OR(I16="",F16="",L16=""),"",I16*F16*L16)</f>
        <v/>
      </c>
      <c r="N16" s="10"/>
      <c r="O16" s="17" t="str">
        <f aca="false">IF(OR(M16="",N16=""),"",MIN(M16,N16))</f>
        <v/>
      </c>
      <c r="P16" s="17" t="str">
        <f aca="false">IF(O16="","",N16-O16)</f>
        <v/>
      </c>
      <c r="Q16" s="18" t="str">
        <f aca="false">IF(OR(I16="",F16=""),"",I16*F16)</f>
        <v/>
      </c>
    </row>
    <row r="17" customFormat="false" ht="15" hidden="false" customHeight="false" outlineLevel="0" collapsed="false">
      <c r="A17" s="7" t="n">
        <v>13</v>
      </c>
      <c r="B17" s="6"/>
      <c r="C17" s="6"/>
      <c r="D17" s="6"/>
      <c r="E17" s="6"/>
      <c r="F17" s="6"/>
      <c r="G17" s="6"/>
      <c r="H17" s="6"/>
      <c r="I17" s="7" t="str">
        <f aca="false">IF(OR(G17="",H17=""),"",G17*H17)</f>
        <v/>
      </c>
      <c r="J17" s="6"/>
      <c r="K17" s="6"/>
      <c r="L17" s="16" t="str">
        <f aca="false">IF(D17="","",IF(D17="Teleformación",'Datos empresa'!$B$16,IF(E17="Básico",'Datos empresa'!$B$14,'Datos empresa'!$B$15)))</f>
        <v/>
      </c>
      <c r="M17" s="17" t="str">
        <f aca="false">IF(OR(I17="",F17="",L17=""),"",I17*F17*L17)</f>
        <v/>
      </c>
      <c r="N17" s="10"/>
      <c r="O17" s="17" t="str">
        <f aca="false">IF(OR(M17="",N17=""),"",MIN(M17,N17))</f>
        <v/>
      </c>
      <c r="P17" s="17" t="str">
        <f aca="false">IF(O17="","",N17-O17)</f>
        <v/>
      </c>
      <c r="Q17" s="18" t="str">
        <f aca="false">IF(OR(I17="",F17=""),"",I17*F17)</f>
        <v/>
      </c>
    </row>
    <row r="18" customFormat="false" ht="15" hidden="false" customHeight="false" outlineLevel="0" collapsed="false">
      <c r="A18" s="7" t="n">
        <v>14</v>
      </c>
      <c r="B18" s="6"/>
      <c r="C18" s="6"/>
      <c r="D18" s="6"/>
      <c r="E18" s="6"/>
      <c r="F18" s="6"/>
      <c r="G18" s="6"/>
      <c r="H18" s="6"/>
      <c r="I18" s="7" t="str">
        <f aca="false">IF(OR(G18="",H18=""),"",G18*H18)</f>
        <v/>
      </c>
      <c r="J18" s="6"/>
      <c r="K18" s="6"/>
      <c r="L18" s="16" t="str">
        <f aca="false">IF(D18="","",IF(D18="Teleformación",'Datos empresa'!$B$16,IF(E18="Básico",'Datos empresa'!$B$14,'Datos empresa'!$B$15)))</f>
        <v/>
      </c>
      <c r="M18" s="17" t="str">
        <f aca="false">IF(OR(I18="",F18="",L18=""),"",I18*F18*L18)</f>
        <v/>
      </c>
      <c r="N18" s="10"/>
      <c r="O18" s="17" t="str">
        <f aca="false">IF(OR(M18="",N18=""),"",MIN(M18,N18))</f>
        <v/>
      </c>
      <c r="P18" s="17" t="str">
        <f aca="false">IF(O18="","",N18-O18)</f>
        <v/>
      </c>
      <c r="Q18" s="18" t="str">
        <f aca="false">IF(OR(I18="",F18=""),"",I18*F18)</f>
        <v/>
      </c>
    </row>
    <row r="19" customFormat="false" ht="15" hidden="false" customHeight="false" outlineLevel="0" collapsed="false">
      <c r="A19" s="7" t="n">
        <v>15</v>
      </c>
      <c r="B19" s="6"/>
      <c r="C19" s="6"/>
      <c r="D19" s="6"/>
      <c r="E19" s="6"/>
      <c r="F19" s="6"/>
      <c r="G19" s="6"/>
      <c r="H19" s="6"/>
      <c r="I19" s="7" t="str">
        <f aca="false">IF(OR(G19="",H19=""),"",G19*H19)</f>
        <v/>
      </c>
      <c r="J19" s="6"/>
      <c r="K19" s="6"/>
      <c r="L19" s="16" t="str">
        <f aca="false">IF(D19="","",IF(D19="Teleformación",'Datos empresa'!$B$16,IF(E19="Básico",'Datos empresa'!$B$14,'Datos empresa'!$B$15)))</f>
        <v/>
      </c>
      <c r="M19" s="17" t="str">
        <f aca="false">IF(OR(I19="",F19="",L19=""),"",I19*F19*L19)</f>
        <v/>
      </c>
      <c r="N19" s="10"/>
      <c r="O19" s="17" t="str">
        <f aca="false">IF(OR(M19="",N19=""),"",MIN(M19,N19))</f>
        <v/>
      </c>
      <c r="P19" s="17" t="str">
        <f aca="false">IF(O19="","",N19-O19)</f>
        <v/>
      </c>
      <c r="Q19" s="18" t="str">
        <f aca="false">IF(OR(I19="",F19=""),"",I19*F19)</f>
        <v/>
      </c>
    </row>
    <row r="20" customFormat="false" ht="15" hidden="false" customHeight="false" outlineLevel="0" collapsed="false">
      <c r="A20" s="7" t="n">
        <v>16</v>
      </c>
      <c r="B20" s="6"/>
      <c r="C20" s="6"/>
      <c r="D20" s="6"/>
      <c r="E20" s="6"/>
      <c r="F20" s="6"/>
      <c r="G20" s="6"/>
      <c r="H20" s="6"/>
      <c r="I20" s="7" t="str">
        <f aca="false">IF(OR(G20="",H20=""),"",G20*H20)</f>
        <v/>
      </c>
      <c r="J20" s="6"/>
      <c r="K20" s="6"/>
      <c r="L20" s="16" t="str">
        <f aca="false">IF(D20="","",IF(D20="Teleformación",'Datos empresa'!$B$16,IF(E20="Básico",'Datos empresa'!$B$14,'Datos empresa'!$B$15)))</f>
        <v/>
      </c>
      <c r="M20" s="17" t="str">
        <f aca="false">IF(OR(I20="",F20="",L20=""),"",I20*F20*L20)</f>
        <v/>
      </c>
      <c r="N20" s="10"/>
      <c r="O20" s="17" t="str">
        <f aca="false">IF(OR(M20="",N20=""),"",MIN(M20,N20))</f>
        <v/>
      </c>
      <c r="P20" s="17" t="str">
        <f aca="false">IF(O20="","",N20-O20)</f>
        <v/>
      </c>
      <c r="Q20" s="18" t="str">
        <f aca="false">IF(OR(I20="",F20=""),"",I20*F20)</f>
        <v/>
      </c>
    </row>
    <row r="21" customFormat="false" ht="15" hidden="false" customHeight="false" outlineLevel="0" collapsed="false">
      <c r="A21" s="7" t="n">
        <v>17</v>
      </c>
      <c r="B21" s="6"/>
      <c r="C21" s="6"/>
      <c r="D21" s="6"/>
      <c r="E21" s="6"/>
      <c r="F21" s="6"/>
      <c r="G21" s="6"/>
      <c r="H21" s="6"/>
      <c r="I21" s="7" t="str">
        <f aca="false">IF(OR(G21="",H21=""),"",G21*H21)</f>
        <v/>
      </c>
      <c r="J21" s="6"/>
      <c r="K21" s="6"/>
      <c r="L21" s="16" t="str">
        <f aca="false">IF(D21="","",IF(D21="Teleformación",'Datos empresa'!$B$16,IF(E21="Básico",'Datos empresa'!$B$14,'Datos empresa'!$B$15)))</f>
        <v/>
      </c>
      <c r="M21" s="17" t="str">
        <f aca="false">IF(OR(I21="",F21="",L21=""),"",I21*F21*L21)</f>
        <v/>
      </c>
      <c r="N21" s="10"/>
      <c r="O21" s="17" t="str">
        <f aca="false">IF(OR(M21="",N21=""),"",MIN(M21,N21))</f>
        <v/>
      </c>
      <c r="P21" s="17" t="str">
        <f aca="false">IF(O21="","",N21-O21)</f>
        <v/>
      </c>
      <c r="Q21" s="18" t="str">
        <f aca="false">IF(OR(I21="",F21=""),"",I21*F21)</f>
        <v/>
      </c>
    </row>
    <row r="22" customFormat="false" ht="15" hidden="false" customHeight="false" outlineLevel="0" collapsed="false">
      <c r="A22" s="7" t="n">
        <v>18</v>
      </c>
      <c r="B22" s="6"/>
      <c r="C22" s="6"/>
      <c r="D22" s="6"/>
      <c r="E22" s="6"/>
      <c r="F22" s="6"/>
      <c r="G22" s="6"/>
      <c r="H22" s="6"/>
      <c r="I22" s="7" t="str">
        <f aca="false">IF(OR(G22="",H22=""),"",G22*H22)</f>
        <v/>
      </c>
      <c r="J22" s="6"/>
      <c r="K22" s="6"/>
      <c r="L22" s="16" t="str">
        <f aca="false">IF(D22="","",IF(D22="Teleformación",'Datos empresa'!$B$16,IF(E22="Básico",'Datos empresa'!$B$14,'Datos empresa'!$B$15)))</f>
        <v/>
      </c>
      <c r="M22" s="17" t="str">
        <f aca="false">IF(OR(I22="",F22="",L22=""),"",I22*F22*L22)</f>
        <v/>
      </c>
      <c r="N22" s="10"/>
      <c r="O22" s="17" t="str">
        <f aca="false">IF(OR(M22="",N22=""),"",MIN(M22,N22))</f>
        <v/>
      </c>
      <c r="P22" s="17" t="str">
        <f aca="false">IF(O22="","",N22-O22)</f>
        <v/>
      </c>
      <c r="Q22" s="18" t="str">
        <f aca="false">IF(OR(I22="",F22=""),"",I22*F22)</f>
        <v/>
      </c>
    </row>
    <row r="23" customFormat="false" ht="15" hidden="false" customHeight="false" outlineLevel="0" collapsed="false">
      <c r="A23" s="7" t="n">
        <v>19</v>
      </c>
      <c r="B23" s="6"/>
      <c r="C23" s="6"/>
      <c r="D23" s="6"/>
      <c r="E23" s="6"/>
      <c r="F23" s="6"/>
      <c r="G23" s="6"/>
      <c r="H23" s="6"/>
      <c r="I23" s="7" t="str">
        <f aca="false">IF(OR(G23="",H23=""),"",G23*H23)</f>
        <v/>
      </c>
      <c r="J23" s="6"/>
      <c r="K23" s="6"/>
      <c r="L23" s="16" t="str">
        <f aca="false">IF(D23="","",IF(D23="Teleformación",'Datos empresa'!$B$16,IF(E23="Básico",'Datos empresa'!$B$14,'Datos empresa'!$B$15)))</f>
        <v/>
      </c>
      <c r="M23" s="17" t="str">
        <f aca="false">IF(OR(I23="",F23="",L23=""),"",I23*F23*L23)</f>
        <v/>
      </c>
      <c r="N23" s="10"/>
      <c r="O23" s="17" t="str">
        <f aca="false">IF(OR(M23="",N23=""),"",MIN(M23,N23))</f>
        <v/>
      </c>
      <c r="P23" s="17" t="str">
        <f aca="false">IF(O23="","",N23-O23)</f>
        <v/>
      </c>
      <c r="Q23" s="18" t="str">
        <f aca="false">IF(OR(I23="",F23=""),"",I23*F23)</f>
        <v/>
      </c>
    </row>
    <row r="24" customFormat="false" ht="15" hidden="false" customHeight="false" outlineLevel="0" collapsed="false">
      <c r="A24" s="7" t="n">
        <v>20</v>
      </c>
      <c r="B24" s="6"/>
      <c r="C24" s="6"/>
      <c r="D24" s="6"/>
      <c r="E24" s="6"/>
      <c r="F24" s="6"/>
      <c r="G24" s="6"/>
      <c r="H24" s="6"/>
      <c r="I24" s="7" t="str">
        <f aca="false">IF(OR(G24="",H24=""),"",G24*H24)</f>
        <v/>
      </c>
      <c r="J24" s="6"/>
      <c r="K24" s="6"/>
      <c r="L24" s="16" t="str">
        <f aca="false">IF(D24="","",IF(D24="Teleformación",'Datos empresa'!$B$16,IF(E24="Básico",'Datos empresa'!$B$14,'Datos empresa'!$B$15)))</f>
        <v/>
      </c>
      <c r="M24" s="17" t="str">
        <f aca="false">IF(OR(I24="",F24="",L24=""),"",I24*F24*L24)</f>
        <v/>
      </c>
      <c r="N24" s="10"/>
      <c r="O24" s="17" t="str">
        <f aca="false">IF(OR(M24="",N24=""),"",MIN(M24,N24))</f>
        <v/>
      </c>
      <c r="P24" s="17" t="str">
        <f aca="false">IF(O24="","",N24-O24)</f>
        <v/>
      </c>
      <c r="Q24" s="18" t="str">
        <f aca="false">IF(OR(I24="",F24=""),"",I24*F24)</f>
        <v/>
      </c>
    </row>
    <row r="25" customFormat="false" ht="15" hidden="false" customHeight="false" outlineLevel="0" collapsed="false">
      <c r="A25" s="7" t="n">
        <v>21</v>
      </c>
      <c r="B25" s="6"/>
      <c r="C25" s="6"/>
      <c r="D25" s="6"/>
      <c r="E25" s="6"/>
      <c r="F25" s="6"/>
      <c r="G25" s="6"/>
      <c r="H25" s="6"/>
      <c r="I25" s="7" t="str">
        <f aca="false">IF(OR(G25="",H25=""),"",G25*H25)</f>
        <v/>
      </c>
      <c r="J25" s="6"/>
      <c r="K25" s="6"/>
      <c r="L25" s="16" t="str">
        <f aca="false">IF(D25="","",IF(D25="Teleformación",'Datos empresa'!$B$16,IF(E25="Básico",'Datos empresa'!$B$14,'Datos empresa'!$B$15)))</f>
        <v/>
      </c>
      <c r="M25" s="17" t="str">
        <f aca="false">IF(OR(I25="",F25="",L25=""),"",I25*F25*L25)</f>
        <v/>
      </c>
      <c r="N25" s="10"/>
      <c r="O25" s="17" t="str">
        <f aca="false">IF(OR(M25="",N25=""),"",MIN(M25,N25))</f>
        <v/>
      </c>
      <c r="P25" s="17" t="str">
        <f aca="false">IF(O25="","",N25-O25)</f>
        <v/>
      </c>
      <c r="Q25" s="18" t="str">
        <f aca="false">IF(OR(I25="",F25=""),"",I25*F25)</f>
        <v/>
      </c>
    </row>
    <row r="26" customFormat="false" ht="15" hidden="false" customHeight="false" outlineLevel="0" collapsed="false">
      <c r="A26" s="7" t="n">
        <v>22</v>
      </c>
      <c r="B26" s="6"/>
      <c r="C26" s="6"/>
      <c r="D26" s="6"/>
      <c r="E26" s="6"/>
      <c r="F26" s="6"/>
      <c r="G26" s="6"/>
      <c r="H26" s="6"/>
      <c r="I26" s="7" t="str">
        <f aca="false">IF(OR(G26="",H26=""),"",G26*H26)</f>
        <v/>
      </c>
      <c r="J26" s="6"/>
      <c r="K26" s="6"/>
      <c r="L26" s="16" t="str">
        <f aca="false">IF(D26="","",IF(D26="Teleformación",'Datos empresa'!$B$16,IF(E26="Básico",'Datos empresa'!$B$14,'Datos empresa'!$B$15)))</f>
        <v/>
      </c>
      <c r="M26" s="17" t="str">
        <f aca="false">IF(OR(I26="",F26="",L26=""),"",I26*F26*L26)</f>
        <v/>
      </c>
      <c r="N26" s="10"/>
      <c r="O26" s="17" t="str">
        <f aca="false">IF(OR(M26="",N26=""),"",MIN(M26,N26))</f>
        <v/>
      </c>
      <c r="P26" s="17" t="str">
        <f aca="false">IF(O26="","",N26-O26)</f>
        <v/>
      </c>
      <c r="Q26" s="18" t="str">
        <f aca="false">IF(OR(I26="",F26=""),"",I26*F26)</f>
        <v/>
      </c>
    </row>
    <row r="27" customFormat="false" ht="15" hidden="false" customHeight="false" outlineLevel="0" collapsed="false">
      <c r="A27" s="7" t="n">
        <v>23</v>
      </c>
      <c r="B27" s="6"/>
      <c r="C27" s="6"/>
      <c r="D27" s="6"/>
      <c r="E27" s="6"/>
      <c r="F27" s="6"/>
      <c r="G27" s="6"/>
      <c r="H27" s="6"/>
      <c r="I27" s="7" t="str">
        <f aca="false">IF(OR(G27="",H27=""),"",G27*H27)</f>
        <v/>
      </c>
      <c r="J27" s="6"/>
      <c r="K27" s="6"/>
      <c r="L27" s="16" t="str">
        <f aca="false">IF(D27="","",IF(D27="Teleformación",'Datos empresa'!$B$16,IF(E27="Básico",'Datos empresa'!$B$14,'Datos empresa'!$B$15)))</f>
        <v/>
      </c>
      <c r="M27" s="17" t="str">
        <f aca="false">IF(OR(I27="",F27="",L27=""),"",I27*F27*L27)</f>
        <v/>
      </c>
      <c r="N27" s="10"/>
      <c r="O27" s="17" t="str">
        <f aca="false">IF(OR(M27="",N27=""),"",MIN(M27,N27))</f>
        <v/>
      </c>
      <c r="P27" s="17" t="str">
        <f aca="false">IF(O27="","",N27-O27)</f>
        <v/>
      </c>
      <c r="Q27" s="18" t="str">
        <f aca="false">IF(OR(I27="",F27=""),"",I27*F27)</f>
        <v/>
      </c>
    </row>
    <row r="28" customFormat="false" ht="15" hidden="false" customHeight="false" outlineLevel="0" collapsed="false">
      <c r="A28" s="7" t="n">
        <v>24</v>
      </c>
      <c r="B28" s="6"/>
      <c r="C28" s="6"/>
      <c r="D28" s="6"/>
      <c r="E28" s="6"/>
      <c r="F28" s="6"/>
      <c r="G28" s="6"/>
      <c r="H28" s="6"/>
      <c r="I28" s="7" t="str">
        <f aca="false">IF(OR(G28="",H28=""),"",G28*H28)</f>
        <v/>
      </c>
      <c r="J28" s="6"/>
      <c r="K28" s="6"/>
      <c r="L28" s="16" t="str">
        <f aca="false">IF(D28="","",IF(D28="Teleformación",'Datos empresa'!$B$16,IF(E28="Básico",'Datos empresa'!$B$14,'Datos empresa'!$B$15)))</f>
        <v/>
      </c>
      <c r="M28" s="17" t="str">
        <f aca="false">IF(OR(I28="",F28="",L28=""),"",I28*F28*L28)</f>
        <v/>
      </c>
      <c r="N28" s="10"/>
      <c r="O28" s="17" t="str">
        <f aca="false">IF(OR(M28="",N28=""),"",MIN(M28,N28))</f>
        <v/>
      </c>
      <c r="P28" s="17" t="str">
        <f aca="false">IF(O28="","",N28-O28)</f>
        <v/>
      </c>
      <c r="Q28" s="18" t="str">
        <f aca="false">IF(OR(I28="",F28=""),"",I28*F28)</f>
        <v/>
      </c>
    </row>
    <row r="29" customFormat="false" ht="15" hidden="false" customHeight="false" outlineLevel="0" collapsed="false">
      <c r="A29" s="7" t="n">
        <v>25</v>
      </c>
      <c r="B29" s="6"/>
      <c r="C29" s="6"/>
      <c r="D29" s="6"/>
      <c r="E29" s="6"/>
      <c r="F29" s="6"/>
      <c r="G29" s="6"/>
      <c r="H29" s="6"/>
      <c r="I29" s="7" t="str">
        <f aca="false">IF(OR(G29="",H29=""),"",G29*H29)</f>
        <v/>
      </c>
      <c r="J29" s="6"/>
      <c r="K29" s="6"/>
      <c r="L29" s="16" t="str">
        <f aca="false">IF(D29="","",IF(D29="Teleformación",'Datos empresa'!$B$16,IF(E29="Básico",'Datos empresa'!$B$14,'Datos empresa'!$B$15)))</f>
        <v/>
      </c>
      <c r="M29" s="17" t="str">
        <f aca="false">IF(OR(I29="",F29="",L29=""),"",I29*F29*L29)</f>
        <v/>
      </c>
      <c r="N29" s="10"/>
      <c r="O29" s="17" t="str">
        <f aca="false">IF(OR(M29="",N29=""),"",MIN(M29,N29))</f>
        <v/>
      </c>
      <c r="P29" s="17" t="str">
        <f aca="false">IF(O29="","",N29-O29)</f>
        <v/>
      </c>
      <c r="Q29" s="18" t="str">
        <f aca="false">IF(OR(I29="",F29=""),"",I29*F29)</f>
        <v/>
      </c>
    </row>
    <row r="30" customFormat="false" ht="15" hidden="false" customHeight="false" outlineLevel="0" collapsed="false">
      <c r="A30" s="7" t="n">
        <v>26</v>
      </c>
      <c r="B30" s="6"/>
      <c r="C30" s="6"/>
      <c r="D30" s="6"/>
      <c r="E30" s="6"/>
      <c r="F30" s="6"/>
      <c r="G30" s="6"/>
      <c r="H30" s="6"/>
      <c r="I30" s="7" t="str">
        <f aca="false">IF(OR(G30="",H30=""),"",G30*H30)</f>
        <v/>
      </c>
      <c r="J30" s="6"/>
      <c r="K30" s="6"/>
      <c r="L30" s="16" t="str">
        <f aca="false">IF(D30="","",IF(D30="Teleformación",'Datos empresa'!$B$16,IF(E30="Básico",'Datos empresa'!$B$14,'Datos empresa'!$B$15)))</f>
        <v/>
      </c>
      <c r="M30" s="17" t="str">
        <f aca="false">IF(OR(I30="",F30="",L30=""),"",I30*F30*L30)</f>
        <v/>
      </c>
      <c r="N30" s="10"/>
      <c r="O30" s="17" t="str">
        <f aca="false">IF(OR(M30="",N30=""),"",MIN(M30,N30))</f>
        <v/>
      </c>
      <c r="P30" s="17" t="str">
        <f aca="false">IF(O30="","",N30-O30)</f>
        <v/>
      </c>
      <c r="Q30" s="18" t="str">
        <f aca="false">IF(OR(I30="",F30=""),"",I30*F30)</f>
        <v/>
      </c>
    </row>
    <row r="31" customFormat="false" ht="15" hidden="false" customHeight="false" outlineLevel="0" collapsed="false">
      <c r="A31" s="7" t="n">
        <v>27</v>
      </c>
      <c r="B31" s="6"/>
      <c r="C31" s="6"/>
      <c r="D31" s="6"/>
      <c r="E31" s="6"/>
      <c r="F31" s="6"/>
      <c r="G31" s="6"/>
      <c r="H31" s="6"/>
      <c r="I31" s="7" t="str">
        <f aca="false">IF(OR(G31="",H31=""),"",G31*H31)</f>
        <v/>
      </c>
      <c r="J31" s="6"/>
      <c r="K31" s="6"/>
      <c r="L31" s="16" t="str">
        <f aca="false">IF(D31="","",IF(D31="Teleformación",'Datos empresa'!$B$16,IF(E31="Básico",'Datos empresa'!$B$14,'Datos empresa'!$B$15)))</f>
        <v/>
      </c>
      <c r="M31" s="17" t="str">
        <f aca="false">IF(OR(I31="",F31="",L31=""),"",I31*F31*L31)</f>
        <v/>
      </c>
      <c r="N31" s="10"/>
      <c r="O31" s="17" t="str">
        <f aca="false">IF(OR(M31="",N31=""),"",MIN(M31,N31))</f>
        <v/>
      </c>
      <c r="P31" s="17" t="str">
        <f aca="false">IF(O31="","",N31-O31)</f>
        <v/>
      </c>
      <c r="Q31" s="18" t="str">
        <f aca="false">IF(OR(I31="",F31=""),"",I31*F31)</f>
        <v/>
      </c>
    </row>
    <row r="32" customFormat="false" ht="15" hidden="false" customHeight="false" outlineLevel="0" collapsed="false">
      <c r="A32" s="7" t="n">
        <v>28</v>
      </c>
      <c r="B32" s="6"/>
      <c r="C32" s="6"/>
      <c r="D32" s="6"/>
      <c r="E32" s="6"/>
      <c r="F32" s="6"/>
      <c r="G32" s="6"/>
      <c r="H32" s="6"/>
      <c r="I32" s="7" t="str">
        <f aca="false">IF(OR(G32="",H32=""),"",G32*H32)</f>
        <v/>
      </c>
      <c r="J32" s="6"/>
      <c r="K32" s="6"/>
      <c r="L32" s="16" t="str">
        <f aca="false">IF(D32="","",IF(D32="Teleformación",'Datos empresa'!$B$16,IF(E32="Básico",'Datos empresa'!$B$14,'Datos empresa'!$B$15)))</f>
        <v/>
      </c>
      <c r="M32" s="17" t="str">
        <f aca="false">IF(OR(I32="",F32="",L32=""),"",I32*F32*L32)</f>
        <v/>
      </c>
      <c r="N32" s="10"/>
      <c r="O32" s="17" t="str">
        <f aca="false">IF(OR(M32="",N32=""),"",MIN(M32,N32))</f>
        <v/>
      </c>
      <c r="P32" s="17" t="str">
        <f aca="false">IF(O32="","",N32-O32)</f>
        <v/>
      </c>
      <c r="Q32" s="18" t="str">
        <f aca="false">IF(OR(I32="",F32=""),"",I32*F32)</f>
        <v/>
      </c>
    </row>
    <row r="33" customFormat="false" ht="15" hidden="false" customHeight="false" outlineLevel="0" collapsed="false">
      <c r="A33" s="7" t="n">
        <v>29</v>
      </c>
      <c r="B33" s="6"/>
      <c r="C33" s="6"/>
      <c r="D33" s="6"/>
      <c r="E33" s="6"/>
      <c r="F33" s="6"/>
      <c r="G33" s="6"/>
      <c r="H33" s="6"/>
      <c r="I33" s="7" t="str">
        <f aca="false">IF(OR(G33="",H33=""),"",G33*H33)</f>
        <v/>
      </c>
      <c r="J33" s="6"/>
      <c r="K33" s="6"/>
      <c r="L33" s="16" t="str">
        <f aca="false">IF(D33="","",IF(D33="Teleformación",'Datos empresa'!$B$16,IF(E33="Básico",'Datos empresa'!$B$14,'Datos empresa'!$B$15)))</f>
        <v/>
      </c>
      <c r="M33" s="17" t="str">
        <f aca="false">IF(OR(I33="",F33="",L33=""),"",I33*F33*L33)</f>
        <v/>
      </c>
      <c r="N33" s="10"/>
      <c r="O33" s="17" t="str">
        <f aca="false">IF(OR(M33="",N33=""),"",MIN(M33,N33))</f>
        <v/>
      </c>
      <c r="P33" s="17" t="str">
        <f aca="false">IF(O33="","",N33-O33)</f>
        <v/>
      </c>
      <c r="Q33" s="18" t="str">
        <f aca="false">IF(OR(I33="",F33=""),"",I33*F33)</f>
        <v/>
      </c>
    </row>
    <row r="34" customFormat="false" ht="15" hidden="false" customHeight="false" outlineLevel="0" collapsed="false">
      <c r="A34" s="7" t="n">
        <v>30</v>
      </c>
      <c r="B34" s="6"/>
      <c r="C34" s="6"/>
      <c r="D34" s="6"/>
      <c r="E34" s="6"/>
      <c r="F34" s="6"/>
      <c r="G34" s="6"/>
      <c r="H34" s="6"/>
      <c r="I34" s="7" t="str">
        <f aca="false">IF(OR(G34="",H34=""),"",G34*H34)</f>
        <v/>
      </c>
      <c r="J34" s="6"/>
      <c r="K34" s="6"/>
      <c r="L34" s="16" t="str">
        <f aca="false">IF(D34="","",IF(D34="Teleformación",'Datos empresa'!$B$16,IF(E34="Básico",'Datos empresa'!$B$14,'Datos empresa'!$B$15)))</f>
        <v/>
      </c>
      <c r="M34" s="17" t="str">
        <f aca="false">IF(OR(I34="",F34="",L34=""),"",I34*F34*L34)</f>
        <v/>
      </c>
      <c r="N34" s="10"/>
      <c r="O34" s="17" t="str">
        <f aca="false">IF(OR(M34="",N34=""),"",MIN(M34,N34))</f>
        <v/>
      </c>
      <c r="P34" s="17" t="str">
        <f aca="false">IF(O34="","",N34-O34)</f>
        <v/>
      </c>
      <c r="Q34" s="18" t="str">
        <f aca="false">IF(OR(I34="",F34=""),"",I34*F34)</f>
        <v/>
      </c>
    </row>
    <row r="36" customFormat="false" ht="15" hidden="false" customHeight="false" outlineLevel="0" collapsed="false">
      <c r="B36" s="8" t="s">
        <v>64</v>
      </c>
    </row>
  </sheetData>
  <dataValidations count="5">
    <dataValidation allowBlank="true" errorStyle="stop" operator="between" showDropDown="false" showErrorMessage="false" showInputMessage="false" sqref="C5:C34" type="list">
      <formula1>"Almacén,Tráfico y transporte,Compras,Comercio exterior,Planificación,Mandos y dirección"</formula1>
      <formula2>0</formula2>
    </dataValidation>
    <dataValidation allowBlank="true" errorStyle="stop" operator="between" showDropDown="false" showErrorMessage="false" showInputMessage="false" sqref="D5:D34" type="list">
      <formula1>"Presencial,Online Live,Híbrida,Teleformación"</formula1>
      <formula2>0</formula2>
    </dataValidation>
    <dataValidation allowBlank="true" errorStyle="stop" operator="between" showDropDown="false" showErrorMessage="false" showInputMessage="false" sqref="E5:E34" type="list">
      <formula1>"Superior,Básico"</formula1>
      <formula2>0</formula2>
    </dataValidation>
    <dataValidation allowBlank="true" errorStyle="stop" operator="between" showDropDown="false" showErrorMessage="false" showInputMessage="false" sqref="J5:J34" type="list">
      <formula1>"Enero,Febrero,Marzo,Abril,Mayo,Junio,Julio,Septiembre,Octubre,Noviembre,Diciembre"</formula1>
      <formula2>0</formula2>
    </dataValidation>
    <dataValidation allowBlank="true" errorStyle="stop" operator="between" showDropDown="false" showErrorMessage="false" showInputMessage="false" sqref="K5:K34" type="list">
      <formula1>"Mañana,Tarde,Noche,Todos"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9" t="s">
        <v>67</v>
      </c>
      <c r="B4" s="19" t="n">
        <f aca="false">COUNTA(Plan!B5:B34)</f>
        <v>2</v>
      </c>
    </row>
    <row r="5" customFormat="false" ht="15" hidden="false" customHeight="false" outlineLevel="0" collapsed="false">
      <c r="A5" s="9" t="s">
        <v>68</v>
      </c>
      <c r="B5" s="20" t="n">
        <f aca="false">SUM(Plan!I5:I34)</f>
        <v>32</v>
      </c>
    </row>
    <row r="6" customFormat="false" ht="15" hidden="false" customHeight="false" outlineLevel="0" collapsed="false">
      <c r="A6" s="9" t="s">
        <v>51</v>
      </c>
      <c r="B6" s="20" t="n">
        <f aca="false">SUM(Plan!Q5:Q34)</f>
        <v>480</v>
      </c>
    </row>
    <row r="7" customFormat="false" ht="15" hidden="false" customHeight="false" outlineLevel="0" collapsed="false">
      <c r="A7" s="9" t="s">
        <v>69</v>
      </c>
      <c r="B7" s="13" t="n">
        <f aca="false">SUM(Plan!N5:N34)</f>
        <v>5600</v>
      </c>
    </row>
    <row r="8" customFormat="false" ht="15" hidden="false" customHeight="false" outlineLevel="0" collapsed="false">
      <c r="A8" s="9" t="s">
        <v>70</v>
      </c>
      <c r="B8" s="13" t="n">
        <f aca="false">SUM(Plan!O5:O34)</f>
        <v>5280</v>
      </c>
    </row>
    <row r="9" customFormat="false" ht="15" hidden="false" customHeight="false" outlineLevel="0" collapsed="false">
      <c r="A9" s="9" t="s">
        <v>26</v>
      </c>
      <c r="B9" s="13" t="n">
        <f aca="false">'Datos empresa'!B11</f>
        <v>9408</v>
      </c>
    </row>
    <row r="10" customFormat="false" ht="15" hidden="false" customHeight="false" outlineLevel="0" collapsed="false">
      <c r="A10" s="9" t="s">
        <v>71</v>
      </c>
      <c r="B10" s="13" t="n">
        <f aca="false">MIN(B8,B9)</f>
        <v>5280</v>
      </c>
    </row>
    <row r="11" customFormat="false" ht="15" hidden="false" customHeight="false" outlineLevel="0" collapsed="false">
      <c r="A11" s="9" t="s">
        <v>72</v>
      </c>
      <c r="B11" s="13" t="n">
        <f aca="false">B7-B10</f>
        <v>320</v>
      </c>
    </row>
    <row r="12" customFormat="false" ht="15" hidden="false" customHeight="false" outlineLevel="0" collapsed="false">
      <c r="A12" s="9" t="s">
        <v>73</v>
      </c>
      <c r="B12" s="12" t="n">
        <f aca="false">IF(B9=0,0,B10/B9)</f>
        <v>0.561224489795918</v>
      </c>
    </row>
    <row r="13" customFormat="false" ht="15" hidden="false" customHeight="false" outlineLevel="0" collapsed="false">
      <c r="A13" s="9" t="s">
        <v>74</v>
      </c>
      <c r="B13" s="13" t="n">
        <f aca="false">MAX(0,B9-B10)</f>
        <v>4128</v>
      </c>
    </row>
    <row r="15" customFormat="false" ht="15" hidden="false" customHeight="false" outlineLevel="0" collapsed="false">
      <c r="A15" s="5" t="s">
        <v>75</v>
      </c>
    </row>
    <row r="16" customFormat="false" ht="33.75" hidden="false" customHeight="true" outlineLevel="0" collapsed="false">
      <c r="A16" s="15" t="s">
        <v>37</v>
      </c>
      <c r="B16" s="15" t="s">
        <v>76</v>
      </c>
      <c r="C16" s="15" t="s">
        <v>77</v>
      </c>
      <c r="D16" s="15" t="s">
        <v>78</v>
      </c>
      <c r="E16" s="15" t="s">
        <v>79</v>
      </c>
    </row>
    <row r="17" customFormat="false" ht="15" hidden="false" customHeight="false" outlineLevel="0" collapsed="false">
      <c r="A17" s="7" t="s">
        <v>59</v>
      </c>
      <c r="B17" s="7" t="n">
        <f aca="false">COUNTIF(Plan!$C$5:$C$34,A17)</f>
        <v>1</v>
      </c>
      <c r="C17" s="18" t="n">
        <f aca="false">SUMIFS(Plan!$I$5:$I$34,Plan!$C$5:$C$34,A17)</f>
        <v>20</v>
      </c>
      <c r="D17" s="18" t="n">
        <f aca="false">SUMIFS(Plan!$Q$5:$Q$34,Plan!$C$5:$C$34,A17)</f>
        <v>240</v>
      </c>
      <c r="E17" s="17" t="n">
        <f aca="false">SUMIFS(Plan!$O$5:$O$34,Plan!$C$5:$C$34,A17)</f>
        <v>2160</v>
      </c>
    </row>
    <row r="18" customFormat="false" ht="15" hidden="false" customHeight="false" outlineLevel="0" collapsed="false">
      <c r="A18" s="7" t="s">
        <v>80</v>
      </c>
      <c r="B18" s="7" t="n">
        <f aca="false">COUNTIF(Plan!$C$5:$C$34,A18)</f>
        <v>0</v>
      </c>
      <c r="C18" s="18" t="n">
        <f aca="false">SUMIFS(Plan!$I$5:$I$34,Plan!$C$5:$C$34,A18)</f>
        <v>0</v>
      </c>
      <c r="D18" s="18" t="n">
        <f aca="false">SUMIFS(Plan!$Q$5:$Q$34,Plan!$C$5:$C$34,A18)</f>
        <v>0</v>
      </c>
      <c r="E18" s="17" t="n">
        <f aca="false">SUMIFS(Plan!$O$5:$O$34,Plan!$C$5:$C$34,A18)</f>
        <v>0</v>
      </c>
    </row>
    <row r="19" customFormat="false" ht="15" hidden="false" customHeight="false" outlineLevel="0" collapsed="false">
      <c r="A19" s="7" t="s">
        <v>81</v>
      </c>
      <c r="B19" s="7" t="n">
        <f aca="false">COUNTIF(Plan!$C$5:$C$34,A19)</f>
        <v>0</v>
      </c>
      <c r="C19" s="18" t="n">
        <f aca="false">SUMIFS(Plan!$I$5:$I$34,Plan!$C$5:$C$34,A19)</f>
        <v>0</v>
      </c>
      <c r="D19" s="18" t="n">
        <f aca="false">SUMIFS(Plan!$Q$5:$Q$34,Plan!$C$5:$C$34,A19)</f>
        <v>0</v>
      </c>
      <c r="E19" s="17" t="n">
        <f aca="false">SUMIFS(Plan!$O$5:$O$34,Plan!$C$5:$C$34,A19)</f>
        <v>0</v>
      </c>
    </row>
    <row r="20" customFormat="false" ht="15" hidden="false" customHeight="false" outlineLevel="0" collapsed="false">
      <c r="A20" s="7" t="s">
        <v>82</v>
      </c>
      <c r="B20" s="7" t="n">
        <f aca="false">COUNTIF(Plan!$C$5:$C$34,A20)</f>
        <v>0</v>
      </c>
      <c r="C20" s="18" t="n">
        <f aca="false">SUMIFS(Plan!$I$5:$I$34,Plan!$C$5:$C$34,A20)</f>
        <v>0</v>
      </c>
      <c r="D20" s="18" t="n">
        <f aca="false">SUMIFS(Plan!$Q$5:$Q$34,Plan!$C$5:$C$34,A20)</f>
        <v>0</v>
      </c>
      <c r="E20" s="17" t="n">
        <f aca="false">SUMIFS(Plan!$O$5:$O$34,Plan!$C$5:$C$34,A20)</f>
        <v>0</v>
      </c>
    </row>
    <row r="21" customFormat="false" ht="15" hidden="false" customHeight="false" outlineLevel="0" collapsed="false">
      <c r="A21" s="7" t="s">
        <v>53</v>
      </c>
      <c r="B21" s="7" t="n">
        <f aca="false">COUNTIF(Plan!$C$5:$C$34,A21)</f>
        <v>1</v>
      </c>
      <c r="C21" s="18" t="n">
        <f aca="false">SUMIFS(Plan!$I$5:$I$34,Plan!$C$5:$C$34,A21)</f>
        <v>12</v>
      </c>
      <c r="D21" s="18" t="n">
        <f aca="false">SUMIFS(Plan!$Q$5:$Q$34,Plan!$C$5:$C$34,A21)</f>
        <v>240</v>
      </c>
      <c r="E21" s="17" t="n">
        <f aca="false">SUMIFS(Plan!$O$5:$O$34,Plan!$C$5:$C$34,A21)</f>
        <v>3120</v>
      </c>
    </row>
    <row r="22" customFormat="false" ht="15" hidden="false" customHeight="false" outlineLevel="0" collapsed="false">
      <c r="A22" s="7" t="s">
        <v>83</v>
      </c>
      <c r="B22" s="7" t="n">
        <f aca="false">COUNTIF(Plan!$C$5:$C$34,A22)</f>
        <v>0</v>
      </c>
      <c r="C22" s="18" t="n">
        <f aca="false">SUMIFS(Plan!$I$5:$I$34,Plan!$C$5:$C$34,A22)</f>
        <v>0</v>
      </c>
      <c r="D22" s="18" t="n">
        <f aca="false">SUMIFS(Plan!$Q$5:$Q$34,Plan!$C$5:$C$34,A22)</f>
        <v>0</v>
      </c>
      <c r="E22" s="17" t="n">
        <f aca="false">SUMIFS(Plan!$O$5:$O$34,Plan!$C$5:$C$34,A22)</f>
        <v>0</v>
      </c>
    </row>
    <row r="24" customFormat="false" ht="15" hidden="false" customHeight="false" outlineLevel="0" collapsed="false">
      <c r="A24" s="5" t="s">
        <v>84</v>
      </c>
    </row>
    <row r="25" customFormat="false" ht="33.75" hidden="false" customHeight="true" outlineLevel="0" collapsed="false">
      <c r="A25" s="15" t="s">
        <v>38</v>
      </c>
      <c r="B25" s="15" t="s">
        <v>76</v>
      </c>
      <c r="C25" s="15" t="s">
        <v>77</v>
      </c>
      <c r="D25" s="15" t="s">
        <v>78</v>
      </c>
      <c r="E25" s="15" t="s">
        <v>79</v>
      </c>
    </row>
    <row r="26" customFormat="false" ht="15" hidden="false" customHeight="false" outlineLevel="0" collapsed="false">
      <c r="A26" s="7" t="s">
        <v>60</v>
      </c>
      <c r="B26" s="7" t="n">
        <f aca="false">COUNTIF(Plan!$D$5:$D$34,A26)</f>
        <v>1</v>
      </c>
      <c r="C26" s="18" t="n">
        <f aca="false">SUMIFS(Plan!$I$5:$I$34,Plan!$D$5:$D$34,A26)</f>
        <v>20</v>
      </c>
      <c r="D26" s="18" t="n">
        <f aca="false">SUMIFS(Plan!$Q$5:$Q$34,Plan!$D$5:$D$34,A26)</f>
        <v>240</v>
      </c>
      <c r="E26" s="17" t="n">
        <f aca="false">SUMIFS(Plan!$O$5:$O$34,Plan!$D$5:$D$34,A26)</f>
        <v>2160</v>
      </c>
    </row>
    <row r="27" customFormat="false" ht="15" hidden="false" customHeight="false" outlineLevel="0" collapsed="false">
      <c r="A27" s="7" t="s">
        <v>85</v>
      </c>
      <c r="B27" s="7" t="n">
        <f aca="false">COUNTIF(Plan!$D$5:$D$34,A27)</f>
        <v>0</v>
      </c>
      <c r="C27" s="18" t="n">
        <f aca="false">SUMIFS(Plan!$I$5:$I$34,Plan!$D$5:$D$34,A27)</f>
        <v>0</v>
      </c>
      <c r="D27" s="18" t="n">
        <f aca="false">SUMIFS(Plan!$Q$5:$Q$34,Plan!$D$5:$D$34,A27)</f>
        <v>0</v>
      </c>
      <c r="E27" s="17" t="n">
        <f aca="false">SUMIFS(Plan!$O$5:$O$34,Plan!$D$5:$D$34,A27)</f>
        <v>0</v>
      </c>
    </row>
    <row r="28" customFormat="false" ht="15" hidden="false" customHeight="false" outlineLevel="0" collapsed="false">
      <c r="A28" s="7" t="s">
        <v>54</v>
      </c>
      <c r="B28" s="7" t="n">
        <f aca="false">COUNTIF(Plan!$D$5:$D$34,A28)</f>
        <v>1</v>
      </c>
      <c r="C28" s="18" t="n">
        <f aca="false">SUMIFS(Plan!$I$5:$I$34,Plan!$D$5:$D$34,A28)</f>
        <v>12</v>
      </c>
      <c r="D28" s="18" t="n">
        <f aca="false">SUMIFS(Plan!$Q$5:$Q$34,Plan!$D$5:$D$34,A28)</f>
        <v>240</v>
      </c>
      <c r="E28" s="17" t="n">
        <f aca="false">SUMIFS(Plan!$O$5:$O$34,Plan!$D$5:$D$34,A28)</f>
        <v>3120</v>
      </c>
    </row>
    <row r="29" customFormat="false" ht="15" hidden="false" customHeight="false" outlineLevel="0" collapsed="false">
      <c r="A29" s="7" t="s">
        <v>86</v>
      </c>
      <c r="B29" s="7" t="n">
        <f aca="false">COUNTIF(Plan!$D$5:$D$34,A29)</f>
        <v>0</v>
      </c>
      <c r="C29" s="18" t="n">
        <f aca="false">SUMIFS(Plan!$I$5:$I$34,Plan!$D$5:$D$34,A29)</f>
        <v>0</v>
      </c>
      <c r="D29" s="18" t="n">
        <f aca="false">SUMIFS(Plan!$Q$5:$Q$34,Plan!$D$5:$D$34,A29)</f>
        <v>0</v>
      </c>
      <c r="E29" s="17" t="n">
        <f aca="false">SUMIFS(Plan!$O$5:$O$34,Plan!$D$5:$D$34,A29)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2026-09-25T13:08:57Z</dcterms:created>
  <dc:creator>openpyxl</dc:creator>
  <dc:description/>
  <dc:language>en-US</dc:language>
  <cp:lastModifiedBy/>
  <dcterms:modified xsi:type="dcterms:W3CDTF">2026-09-25T13:08:57Z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
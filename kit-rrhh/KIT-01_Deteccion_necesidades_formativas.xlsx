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uestionario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<sst xmlns="http://schemas.openxmlformats.org/spreadsheetml/2006/main" count="47" uniqueCount="45">
  <si>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KIT-01 · Detección de necesidades formativas por departamento</t>
  </si>
  <si>
    <t xml:space="preserve">Kit RRHH · Logístikos · Formación in company en logística, compras, transporte y comercio exterior</t>
  </si>
  <si>
    <t xml:space="preserve">PARA QUÉ SIRVE</t>
  </si>
  <si>
    <t xml:space="preserve">Convierte las incidencias reales de la operación en necesidades de formación priorizadas, y separa lo que es un problema de formación de lo que es un problema de organización.</t>
  </si>
  <si>
    <t xml:space="preserve">CÓMO USARLO</t>
  </si>
  <si>
    <t xml:space="preserve">1. Envía la hoja "Cuestionario" a cada mando (almacén, tráfico, compras, comercio exterior, planificación, dirección).</t>
  </si>
  <si>
    <t xml:space="preserve">2. Cada fila es una incidencia o problema recurrente. Puntúa frecuencia e impacto de 1 (bajo) a 5 (alto).</t>
  </si>
  <si>
    <t xml:space="preserve">3. Indica la causa principal. Si la causa es "Organización", la prioridad formativa es 0: la formación no lo resolverá.</t>
  </si>
  <si>
    <t xml:space="preserve">4. La hoja "Resumen" agrega por departamento. Las necesidades con prioridad Alta (16 o más) son candidatas al plan anual (KIT-02).</t>
  </si>
  <si>
    <t xml:space="preserve">La fila 5 es un ejemplo: sobrescríbela o bórrala.</t>
  </si>
  <si>
    <t xml:space="preserve">Leyenda</t>
  </si>
  <si>
    <t xml:space="preserve">Celda a rellenar</t>
  </si>
  <si>
    <t xml:space="preserve">Fórmula (no editar)</t>
  </si>
  <si>
    <t xml:space="preserve">Plantilla orientativa. No sustituye el asesoramiento jurídico ni la normativa vigente de FUNDAE. ¿Dudas? formacion@logistikos.es · +34 696 34 80 47</t>
  </si>
  <si>
    <t xml:space="preserve">Cuestionario de detección de necesidades</t>
  </si>
  <si>
    <t xml:space="preserve">Una fila por incidencia o problema recurrente</t>
  </si>
  <si>
    <t xml:space="preserve">Departamento</t>
  </si>
  <si>
    <t xml:space="preserve">Mando que responde</t>
  </si>
  <si>
    <t xml:space="preserve">Incidencia o problema operativo</t>
  </si>
  <si>
    <t xml:space="preserve">Frecuencia (1-5)</t>
  </si>
  <si>
    <t xml:space="preserve">Impacto en coste o servicio (1-5)</t>
  </si>
  <si>
    <t xml:space="preserve">Causa principal</t>
  </si>
  <si>
    <t xml:space="preserve">Competencia que falta</t>
  </si>
  <si>
    <t xml:space="preserve">Nº personas afectadas</t>
  </si>
  <si>
    <t xml:space="preserve">Formación que propondrías</t>
  </si>
  <si>
    <t xml:space="preserve">Prioridad (0-25)</t>
  </si>
  <si>
    <t xml:space="preserve">Nivel</t>
  </si>
  <si>
    <t xml:space="preserve">Almacén</t>
  </si>
  <si>
    <t xml:space="preserve">Jefe de turno noche</t>
  </si>
  <si>
    <t xml:space="preserve">Errores de preparación en pedidos multirreferencia durante campaña</t>
  </si>
  <si>
    <t xml:space="preserve">Formación</t>
  </si>
  <si>
    <t xml:space="preserve">Método de picking y verificación en SGA</t>
  </si>
  <si>
    <t xml:space="preserve">Productividad en picking y cero errores</t>
  </si>
  <si>
    <t xml:space="preserve">Resumen por departamento</t>
  </si>
  <si>
    <t xml:space="preserve">Se actualiza solo con el cuestionario</t>
  </si>
  <si>
    <t xml:space="preserve">Necesidades formativas</t>
  </si>
  <si>
    <t xml:space="preserve">Prioridad Alta</t>
  </si>
  <si>
    <t xml:space="preserve">Prioridad media (0-25)</t>
  </si>
  <si>
    <t xml:space="preserve">Personas afectadas</t>
  </si>
  <si>
    <t xml:space="preserve">Tráfico y transporte</t>
  </si>
  <si>
    <t xml:space="preserve">Compras</t>
  </si>
  <si>
    <t xml:space="preserve">Comercio exterior</t>
  </si>
  <si>
    <t xml:space="preserve">Planificación</t>
  </si>
  <si>
    <t xml:space="preserve">Mandos y dirección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</si>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</sst>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0C1B"/>
      <name val="Arial"/>
      <family val="0"/>
      <charset val="1"/>
    </font>
    <font>
      <i val="true"/>
      <sz val="10"/>
      <color rgb="FF5556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65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C2"/>
        <bgColor rgb="FFFFFF99"/>
      </patternFill>
    </fill>
    <fill>
      <patternFill patternType="solid">
        <fgColor rgb="FF0A0C1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7CE"/>
      </left>
      <right style="thin">
        <color rgb="FFD9D7CE"/>
      </right>
      <top style="thin">
        <color rgb="FFD9D7CE"/>
      </top>
      <bottom style="thin">
        <color rgb="FFD9D7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D2B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2"/>
      <rgbColor rgb="FFCCFFFF"/>
      <rgbColor rgb="FF660066"/>
      <rgbColor rgb="FFFF8080"/>
      <rgbColor rgb="FF0066CC"/>
      <rgbColor rgb="FFD9D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2B3"/>
      <rgbColor rgb="FF3366FF"/>
      <rgbColor rgb="FF33CCCC"/>
      <rgbColor rgb="FF99CC00"/>
      <rgbColor rgb="FFFFCC00"/>
      <rgbColor rgb="FFFF9900"/>
      <rgbColor rgb="FFFF6600"/>
      <rgbColor rgb="FF55565F"/>
      <rgbColor rgb="FF969696"/>
      <rgbColor rgb="FF003366"/>
      <rgbColor rgb="FF339966"/>
      <rgbColor rgb="FF0A0C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6" t="s">
        <v>11</v>
      </c>
    </row>
    <row r="15" customFormat="false" ht="15" hidden="false" customHeight="false" outlineLevel="0" collapsed="false">
      <c r="A15" s="7" t="s">
        <v>12</v>
      </c>
    </row>
    <row r="17" customFormat="false" ht="15" hidden="false" customHeight="false" outlineLevel="0" collapsed="false">
      <c r="A17" s="8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2"/>
    <col collapsed="false" customWidth="true" hidden="false" outlineLevel="0" max="8" min="8" style="0" width="12"/>
    <col collapsed="false" customWidth="true" hidden="false" outlineLevel="0" max="9" min="9" style="0" width="32"/>
    <col collapsed="false" customWidth="true" hidden="false" outlineLevel="0" max="10" min="10" style="0" width="11"/>
    <col collapsed="false" customWidth="true" hidden="false" outlineLevel="0" max="11" min="11" style="0" width="10"/>
  </cols>
  <sheetData>
    <row r="1" customFormat="false" ht="19.7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33.75" hidden="false" customHeight="true" outlineLevel="0" collapsed="false">
      <c r="A4" s="9" t="s">
        <v>16</v>
      </c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</row>
    <row r="5" customFormat="false" ht="23.85" hidden="false" customHeight="false" outlineLevel="0" collapsed="false">
      <c r="A5" s="6" t="s">
        <v>27</v>
      </c>
      <c r="B5" s="6" t="s">
        <v>28</v>
      </c>
      <c r="C5" s="6" t="s">
        <v>29</v>
      </c>
      <c r="D5" s="6" t="n">
        <v>4</v>
      </c>
      <c r="E5" s="6" t="n">
        <v>5</v>
      </c>
      <c r="F5" s="6" t="s">
        <v>30</v>
      </c>
      <c r="G5" s="6" t="s">
        <v>31</v>
      </c>
      <c r="H5" s="6" t="n">
        <v>14</v>
      </c>
      <c r="I5" s="6" t="s">
        <v>32</v>
      </c>
      <c r="J5" s="7" t="n">
        <f aca="false">IF(OR(D5="",E5=""),"",IF(F5="Organización",0,D5*E5))</f>
        <v>20</v>
      </c>
      <c r="K5" s="7" t="str">
        <f aca="false">IF(J5="","",IF(J5&gt;=16,"Alta",IF(J5&gt;=9,"Media","Baja")))</f>
        <v>Alta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7" t="str">
        <f aca="false">IF(OR(D6="",E6=""),"",IF(F6="Organización",0,D6*E6))</f>
        <v/>
      </c>
      <c r="K6" s="7" t="str">
        <f aca="false">IF(J6="","",IF(J6&gt;=16,"Alta",IF(J6&gt;=9,"Media","Baja")))</f>
        <v/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7" t="str">
        <f aca="false">IF(OR(D7="",E7=""),"",IF(F7="Organización",0,D7*E7))</f>
        <v/>
      </c>
      <c r="K7" s="7" t="str">
        <f aca="false">IF(J7="","",IF(J7&gt;=16,"Alta",IF(J7&gt;=9,"Media","Baja")))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7" t="str">
        <f aca="false">IF(OR(D8="",E8=""),"",IF(F8="Organización",0,D8*E8))</f>
        <v/>
      </c>
      <c r="K8" s="7" t="str">
        <f aca="false">IF(J8="","",IF(J8&gt;=16,"Alta",IF(J8&gt;=9,"Media","Baja")))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7" t="str">
        <f aca="false">IF(OR(D9="",E9=""),"",IF(F9="Organización",0,D9*E9))</f>
        <v/>
      </c>
      <c r="K9" s="7" t="str">
        <f aca="false">IF(J9="","",IF(J9&gt;=16,"Alta",IF(J9&gt;=9,"Media","Baja")))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7" t="str">
        <f aca="false">IF(OR(D10="",E10=""),"",IF(F10="Organización",0,D10*E10))</f>
        <v/>
      </c>
      <c r="K10" s="7" t="str">
        <f aca="false">IF(J10="","",IF(J10&gt;=16,"Alta",IF(J10&gt;=9,"Media","Baja")))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7" t="str">
        <f aca="false">IF(OR(D11="",E11=""),"",IF(F11="Organización",0,D11*E11))</f>
        <v/>
      </c>
      <c r="K11" s="7" t="str">
        <f aca="false">IF(J11="","",IF(J11&gt;=16,"Alta",IF(J11&gt;=9,"Media","Baja")))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7" t="str">
        <f aca="false">IF(OR(D12="",E12=""),"",IF(F12="Organización",0,D12*E12))</f>
        <v/>
      </c>
      <c r="K12" s="7" t="str">
        <f aca="false">IF(J12="","",IF(J12&gt;=16,"Alta",IF(J12&gt;=9,"Media","Baja")))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7" t="str">
        <f aca="false">IF(OR(D13="",E13=""),"",IF(F13="Organización",0,D13*E13))</f>
        <v/>
      </c>
      <c r="K13" s="7" t="str">
        <f aca="false">IF(J13="","",IF(J13&gt;=16,"Alta",IF(J13&gt;=9,"Media","Baja")))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7" t="str">
        <f aca="false">IF(OR(D14="",E14=""),"",IF(F14="Organización",0,D14*E14))</f>
        <v/>
      </c>
      <c r="K14" s="7" t="str">
        <f aca="false">IF(J14="","",IF(J14&gt;=16,"Alta",IF(J14&gt;=9,"Media","Baja")))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7" t="str">
        <f aca="false">IF(OR(D15="",E15=""),"",IF(F15="Organización",0,D15*E15))</f>
        <v/>
      </c>
      <c r="K15" s="7" t="str">
        <f aca="false">IF(J15="","",IF(J15&gt;=16,"Alta",IF(J15&gt;=9,"Media","Baja")))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7" t="str">
        <f aca="false">IF(OR(D16="",E16=""),"",IF(F16="Organización",0,D16*E16))</f>
        <v/>
      </c>
      <c r="K16" s="7" t="str">
        <f aca="false">IF(J16="","",IF(J16&gt;=16,"Alta",IF(J16&gt;=9,"Media","Baja")))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7" t="str">
        <f aca="false">IF(OR(D17="",E17=""),"",IF(F17="Organización",0,D17*E17))</f>
        <v/>
      </c>
      <c r="K17" s="7" t="str">
        <f aca="false">IF(J17="","",IF(J17&gt;=16,"Alta",IF(J17&gt;=9,"Media","Baja")))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7" t="str">
        <f aca="false">IF(OR(D18="",E18=""),"",IF(F18="Organización",0,D18*E18))</f>
        <v/>
      </c>
      <c r="K18" s="7" t="str">
        <f aca="false">IF(J18="","",IF(J18&gt;=16,"Alta",IF(J18&gt;=9,"Media","Baja")))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7" t="str">
        <f aca="false">IF(OR(D19="",E19=""),"",IF(F19="Organización",0,D19*E19))</f>
        <v/>
      </c>
      <c r="K19" s="7" t="str">
        <f aca="false">IF(J19="","",IF(J19&gt;=16,"Alta",IF(J19&gt;=9,"Media","Baja")))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7" t="str">
        <f aca="false">IF(OR(D20="",E20=""),"",IF(F20="Organización",0,D20*E20))</f>
        <v/>
      </c>
      <c r="K20" s="7" t="str">
        <f aca="false">IF(J20="","",IF(J20&gt;=16,"Alta",IF(J20&gt;=9,"Media","Baja")))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7" t="str">
        <f aca="false">IF(OR(D21="",E21=""),"",IF(F21="Organización",0,D21*E21))</f>
        <v/>
      </c>
      <c r="K21" s="7" t="str">
        <f aca="false">IF(J21="","",IF(J21&gt;=16,"Alta",IF(J21&gt;=9,"Media","Baja")))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7" t="str">
        <f aca="false">IF(OR(D22="",E22=""),"",IF(F22="Organización",0,D22*E22))</f>
        <v/>
      </c>
      <c r="K22" s="7" t="str">
        <f aca="false">IF(J22="","",IF(J22&gt;=16,"Alta",IF(J22&gt;=9,"Media","Baja")))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7" t="str">
        <f aca="false">IF(OR(D23="",E23=""),"",IF(F23="Organización",0,D23*E23))</f>
        <v/>
      </c>
      <c r="K23" s="7" t="str">
        <f aca="false">IF(J23="","",IF(J23&gt;=16,"Alta",IF(J23&gt;=9,"Media","Baja")))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7" t="str">
        <f aca="false">IF(OR(D24="",E24=""),"",IF(F24="Organización",0,D24*E24))</f>
        <v/>
      </c>
      <c r="K24" s="7" t="str">
        <f aca="false">IF(J24="","",IF(J24&gt;=16,"Alta",IF(J24&gt;=9,"Media","Baja")))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7" t="str">
        <f aca="false">IF(OR(D25="",E25=""),"",IF(F25="Organización",0,D25*E25))</f>
        <v/>
      </c>
      <c r="K25" s="7" t="str">
        <f aca="false">IF(J25="","",IF(J25&gt;=16,"Alta",IF(J25&gt;=9,"Media","Baja")))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7" t="str">
        <f aca="false">IF(OR(D26="",E26=""),"",IF(F26="Organización",0,D26*E26))</f>
        <v/>
      </c>
      <c r="K26" s="7" t="str">
        <f aca="false">IF(J26="","",IF(J26&gt;=16,"Alta",IF(J26&gt;=9,"Media","Baja")))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7" t="str">
        <f aca="false">IF(OR(D27="",E27=""),"",IF(F27="Organización",0,D27*E27))</f>
        <v/>
      </c>
      <c r="K27" s="7" t="str">
        <f aca="false">IF(J27="","",IF(J27&gt;=16,"Alta",IF(J27&gt;=9,"Media","Baja")))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7" t="str">
        <f aca="false">IF(OR(D28="",E28=""),"",IF(F28="Organización",0,D28*E28))</f>
        <v/>
      </c>
      <c r="K28" s="7" t="str">
        <f aca="false">IF(J28="","",IF(J28&gt;=16,"Alta",IF(J28&gt;=9,"Media","Baja")))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7" t="str">
        <f aca="false">IF(OR(D29="",E29=""),"",IF(F29="Organización",0,D29*E29))</f>
        <v/>
      </c>
      <c r="K29" s="7" t="str">
        <f aca="false">IF(J29="","",IF(J29&gt;=16,"Alta",IF(J29&gt;=9,"Media","Baja")))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7" t="str">
        <f aca="false">IF(OR(D30="",E30=""),"",IF(F30="Organización",0,D30*E30))</f>
        <v/>
      </c>
      <c r="K30" s="7" t="str">
        <f aca="false">IF(J30="","",IF(J30&gt;=16,"Alta",IF(J30&gt;=9,"Media","Baja")))</f>
        <v/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7" t="str">
        <f aca="false">IF(OR(D31="",E31=""),"",IF(F31="Organización",0,D31*E31))</f>
        <v/>
      </c>
      <c r="K31" s="7" t="str">
        <f aca="false">IF(J31="","",IF(J31&gt;=16,"Alta",IF(J31&gt;=9,"Media","Baja")))</f>
        <v/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7" t="str">
        <f aca="false">IF(OR(D32="",E32=""),"",IF(F32="Organización",0,D32*E32))</f>
        <v/>
      </c>
      <c r="K32" s="7" t="str">
        <f aca="false">IF(J32="","",IF(J32&gt;=16,"Alta",IF(J32&gt;=9,"Media","Baja")))</f>
        <v/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7" t="str">
        <f aca="false">IF(OR(D33="",E33=""),"",IF(F33="Organización",0,D33*E33))</f>
        <v/>
      </c>
      <c r="K33" s="7" t="str">
        <f aca="false">IF(J33="","",IF(J33&gt;=16,"Alta",IF(J33&gt;=9,"Media","Baja")))</f>
        <v/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7" t="str">
        <f aca="false">IF(OR(D34="",E34=""),"",IF(F34="Organización",0,D34*E34))</f>
        <v/>
      </c>
      <c r="K34" s="7" t="str">
        <f aca="false">IF(J34="","",IF(J34&gt;=16,"Alta",IF(J34&gt;=9,"Media","Baja")))</f>
        <v/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7" t="str">
        <f aca="false">IF(OR(D35="",E35=""),"",IF(F35="Organización",0,D35*E35))</f>
        <v/>
      </c>
      <c r="K35" s="7" t="str">
        <f aca="false">IF(J35="","",IF(J35&gt;=16,"Alta",IF(J35&gt;=9,"Media","Baja")))</f>
        <v/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7" t="str">
        <f aca="false">IF(OR(D36="",E36=""),"",IF(F36="Organización",0,D36*E36))</f>
        <v/>
      </c>
      <c r="K36" s="7" t="str">
        <f aca="false">IF(J36="","",IF(J36&gt;=16,"Alta",IF(J36&gt;=9,"Media","Baja")))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7" t="str">
        <f aca="false">IF(OR(D37="",E37=""),"",IF(F37="Organización",0,D37*E37))</f>
        <v/>
      </c>
      <c r="K37" s="7" t="str">
        <f aca="false">IF(J37="","",IF(J37&gt;=16,"Alta",IF(J37&gt;=9,"Media","Baja")))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7" t="str">
        <f aca="false">IF(OR(D38="",E38=""),"",IF(F38="Organización",0,D38*E38))</f>
        <v/>
      </c>
      <c r="K38" s="7" t="str">
        <f aca="false">IF(J38="","",IF(J38&gt;=16,"Alta",IF(J38&gt;=9,"Media","Baja")))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7" t="str">
        <f aca="false">IF(OR(D39="",E39=""),"",IF(F39="Organización",0,D39*E39))</f>
        <v/>
      </c>
      <c r="K39" s="7" t="str">
        <f aca="false">IF(J39="","",IF(J39&gt;=16,"Alta",IF(J39&gt;=9,"Media","Baja")))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7" t="str">
        <f aca="false">IF(OR(D40="",E40=""),"",IF(F40="Organización",0,D40*E40))</f>
        <v/>
      </c>
      <c r="K40" s="7" t="str">
        <f aca="false">IF(J40="","",IF(J40&gt;=16,"Alta",IF(J40&gt;=9,"Media","Baja")))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7" t="str">
        <f aca="false">IF(OR(D41="",E41=""),"",IF(F41="Organización",0,D41*E41))</f>
        <v/>
      </c>
      <c r="K41" s="7" t="str">
        <f aca="false">IF(J41="","",IF(J41&gt;=16,"Alta",IF(J41&gt;=9,"Media","Baja")))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7" t="str">
        <f aca="false">IF(OR(D42="",E42=""),"",IF(F42="Organización",0,D42*E42))</f>
        <v/>
      </c>
      <c r="K42" s="7" t="str">
        <f aca="false">IF(J42="","",IF(J42&gt;=16,"Alta",IF(J42&gt;=9,"Media","Baja")))</f>
        <v/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7" t="str">
        <f aca="false">IF(OR(D43="",E43=""),"",IF(F43="Organización",0,D43*E43))</f>
        <v/>
      </c>
      <c r="K43" s="7" t="str">
        <f aca="false">IF(J43="","",IF(J43&gt;=16,"Alta",IF(J43&gt;=9,"Media","Baja")))</f>
        <v/>
      </c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7" t="str">
        <f aca="false">IF(OR(D44="",E44=""),"",IF(F44="Organización",0,D44*E44))</f>
        <v/>
      </c>
      <c r="K44" s="7" t="str">
        <f aca="false">IF(J44="","",IF(J44&gt;=16,"Alta",IF(J44&gt;=9,"Media","Baja")))</f>
        <v/>
      </c>
    </row>
  </sheetData>
  <conditionalFormatting sqref="K5:K44">
    <cfRule type="cellIs" priority="2" operator="equal" aboveAverage="0" equalAverage="0" bottom="0" percent="0" rank="0" text="" dxfId="0">
      <formula>"Alta"</formula>
    </cfRule>
  </conditionalFormatting>
  <dataValidations count="3">
    <dataValidation allowBlank="true" errorStyle="stop" operator="between" showDropDown="false" showErrorMessage="false" showInputMessage="false" sqref="A5:A44" type="list">
      <formula1>"Almacén,Tráfico y transporte,Compras,Comercio exterior,Planificación,Mandos y dirección"</formula1>
      <formula2>0</formula2>
    </dataValidation>
    <dataValidation allowBlank="true" errorStyle="stop" operator="between" showDropDown="false" showErrorMessage="false" showInputMessage="false" sqref="F5:F44" type="list">
      <formula1>"Formación,Organización,Herramientas,Mixta"</formula1>
      <formula2>0</formula2>
    </dataValidation>
    <dataValidation allowBlank="true" errorStyle="stop" operator="between" showDropDown="false" showErrorMessage="false" showInputMessage="false" sqref="D5:E4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33.75" hidden="false" customHeight="true" outlineLevel="0" collapsed="false">
      <c r="A4" s="9" t="s">
        <v>16</v>
      </c>
      <c r="B4" s="9" t="s">
        <v>35</v>
      </c>
      <c r="C4" s="9" t="s">
        <v>36</v>
      </c>
      <c r="D4" s="9" t="s">
        <v>37</v>
      </c>
      <c r="E4" s="9" t="s">
        <v>38</v>
      </c>
    </row>
    <row r="5" customFormat="false" ht="15" hidden="false" customHeight="false" outlineLevel="0" collapsed="false">
      <c r="A5" s="10" t="s">
        <v>27</v>
      </c>
      <c r="B5" s="7" t="n">
        <f aca="false">COUNTIFS(Cuestionario!$A$5:$A$44,A5,Cuestionario!$J$5:$J$44,"&gt;0")</f>
        <v>1</v>
      </c>
      <c r="C5" s="7" t="n">
        <f aca="false">COUNTIFS(Cuestionario!$A$5:$A$44,A5,Cuestionario!$K$5:$K$44,"Alta")</f>
        <v>1</v>
      </c>
      <c r="D5" s="11" t="n">
        <f aca="false">IFERROR(AVERAGEIFS(Cuestionario!$J$5:$J$44,Cuestionario!$A$5:$A$44,A5,Cuestionario!$J$5:$J$44,"&gt;0"),0)</f>
        <v>20</v>
      </c>
      <c r="E5" s="7" t="n">
        <f aca="false">SUMIFS(Cuestionario!$H$5:$H$44,Cuestionario!$A$5:$A$44,A5,Cuestionario!$J$5:$J$44,"&gt;0")</f>
        <v>14</v>
      </c>
    </row>
    <row r="6" customFormat="false" ht="15" hidden="false" customHeight="false" outlineLevel="0" collapsed="false">
      <c r="A6" s="10" t="s">
        <v>39</v>
      </c>
      <c r="B6" s="7" t="n">
        <f aca="false">COUNTIFS(Cuestionario!$A$5:$A$44,A6,Cuestionario!$J$5:$J$44,"&gt;0")</f>
        <v>0</v>
      </c>
      <c r="C6" s="7" t="n">
        <f aca="false">COUNTIFS(Cuestionario!$A$5:$A$44,A6,Cuestionario!$K$5:$K$44,"Alta")</f>
        <v>0</v>
      </c>
      <c r="D6" s="11" t="n">
        <f aca="false">IFERROR(AVERAGEIFS(Cuestionario!$J$5:$J$44,Cuestionario!$A$5:$A$44,A6,Cuestionario!$J$5:$J$44,"&gt;0"),0)</f>
        <v>0</v>
      </c>
      <c r="E6" s="7" t="n">
        <f aca="false">SUMIFS(Cuestionario!$H$5:$H$44,Cuestionario!$A$5:$A$44,A6,Cuestionario!$J$5:$J$44,"&gt;0")</f>
        <v>0</v>
      </c>
    </row>
    <row r="7" customFormat="false" ht="15" hidden="false" customHeight="false" outlineLevel="0" collapsed="false">
      <c r="A7" s="10" t="s">
        <v>40</v>
      </c>
      <c r="B7" s="7" t="n">
        <f aca="false">COUNTIFS(Cuestionario!$A$5:$A$44,A7,Cuestionario!$J$5:$J$44,"&gt;0")</f>
        <v>0</v>
      </c>
      <c r="C7" s="7" t="n">
        <f aca="false">COUNTIFS(Cuestionario!$A$5:$A$44,A7,Cuestionario!$K$5:$K$44,"Alta")</f>
        <v>0</v>
      </c>
      <c r="D7" s="11" t="n">
        <f aca="false">IFERROR(AVERAGEIFS(Cuestionario!$J$5:$J$44,Cuestionario!$A$5:$A$44,A7,Cuestionario!$J$5:$J$44,"&gt;0"),0)</f>
        <v>0</v>
      </c>
      <c r="E7" s="7" t="n">
        <f aca="false">SUMIFS(Cuestionario!$H$5:$H$44,Cuestionario!$A$5:$A$44,A7,Cuestionario!$J$5:$J$44,"&gt;0")</f>
        <v>0</v>
      </c>
    </row>
    <row r="8" customFormat="false" ht="15" hidden="false" customHeight="false" outlineLevel="0" collapsed="false">
      <c r="A8" s="10" t="s">
        <v>41</v>
      </c>
      <c r="B8" s="7" t="n">
        <f aca="false">COUNTIFS(Cuestionario!$A$5:$A$44,A8,Cuestionario!$J$5:$J$44,"&gt;0")</f>
        <v>0</v>
      </c>
      <c r="C8" s="7" t="n">
        <f aca="false">COUNTIFS(Cuestionario!$A$5:$A$44,A8,Cuestionario!$K$5:$K$44,"Alta")</f>
        <v>0</v>
      </c>
      <c r="D8" s="11" t="n">
        <f aca="false">IFERROR(AVERAGEIFS(Cuestionario!$J$5:$J$44,Cuestionario!$A$5:$A$44,A8,Cuestionario!$J$5:$J$44,"&gt;0"),0)</f>
        <v>0</v>
      </c>
      <c r="E8" s="7" t="n">
        <f aca="false">SUMIFS(Cuestionario!$H$5:$H$44,Cuestionario!$A$5:$A$44,A8,Cuestionario!$J$5:$J$44,"&gt;0")</f>
        <v>0</v>
      </c>
    </row>
    <row r="9" customFormat="false" ht="15" hidden="false" customHeight="false" outlineLevel="0" collapsed="false">
      <c r="A9" s="10" t="s">
        <v>42</v>
      </c>
      <c r="B9" s="7" t="n">
        <f aca="false">COUNTIFS(Cuestionario!$A$5:$A$44,A9,Cuestionario!$J$5:$J$44,"&gt;0")</f>
        <v>0</v>
      </c>
      <c r="C9" s="7" t="n">
        <f aca="false">COUNTIFS(Cuestionario!$A$5:$A$44,A9,Cuestionario!$K$5:$K$44,"Alta")</f>
        <v>0</v>
      </c>
      <c r="D9" s="11" t="n">
        <f aca="false">IFERROR(AVERAGEIFS(Cuestionario!$J$5:$J$44,Cuestionario!$A$5:$A$44,A9,Cuestionario!$J$5:$J$44,"&gt;0"),0)</f>
        <v>0</v>
      </c>
      <c r="E9" s="7" t="n">
        <f aca="false">SUMIFS(Cuestionario!$H$5:$H$44,Cuestionario!$A$5:$A$44,A9,Cuestionario!$J$5:$J$44,"&gt;0")</f>
        <v>0</v>
      </c>
    </row>
    <row r="10" customFormat="false" ht="15" hidden="false" customHeight="false" outlineLevel="0" collapsed="false">
      <c r="A10" s="10" t="s">
        <v>43</v>
      </c>
      <c r="B10" s="7" t="n">
        <f aca="false">COUNTIFS(Cuestionario!$A$5:$A$44,A10,Cuestionario!$J$5:$J$44,"&gt;0")</f>
        <v>0</v>
      </c>
      <c r="C10" s="7" t="n">
        <f aca="false">COUNTIFS(Cuestionario!$A$5:$A$44,A10,Cuestionario!$K$5:$K$44,"Alta")</f>
        <v>0</v>
      </c>
      <c r="D10" s="11" t="n">
        <f aca="false">IFERROR(AVERAGEIFS(Cuestionario!$J$5:$J$44,Cuestionario!$A$5:$A$44,A10,Cuestionario!$J$5:$J$44,"&gt;0"),0)</f>
        <v>0</v>
      </c>
      <c r="E10" s="7" t="n">
        <f aca="false">SUMIFS(Cuestionario!$H$5:$H$44,Cuestionario!$A$5:$A$44,A10,Cuestionario!$J$5:$J$44,"&gt;0")</f>
        <v>0</v>
      </c>
    </row>
    <row r="11" customFormat="false" ht="15" hidden="false" customHeight="false" outlineLevel="0" collapsed="false">
      <c r="A11" s="10" t="s">
        <v>44</v>
      </c>
      <c r="B11" s="10" t="n">
        <f aca="false">SUM(B5:B10)</f>
        <v>1</v>
      </c>
      <c r="C11" s="10" t="n">
        <f aca="false">SUM(C5:C10)</f>
        <v>1</v>
      </c>
      <c r="E11" s="10" t="n">
        <f aca="false">SUM(E5:E10)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2026-09-25T13:08:57Z</dcterms:created>
  <dc:creator>openpyxl</dc:creator>
  <dc:description/>
  <dc:language>en-US</dc:language>
  <cp:lastModifiedBy/>
  <dcterms:modified xsi:type="dcterms:W3CDTF">2026-09-25T13:08:57Z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